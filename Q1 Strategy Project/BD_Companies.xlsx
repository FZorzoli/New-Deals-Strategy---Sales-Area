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harts/chart6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7.xml" ContentType="application/vnd.openxmlformats-officedocument.spreadsheetml.pivot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ranc\Desktop\data analysis\Proyecto Analisis de pipeline\"/>
    </mc:Choice>
  </mc:AlternateContent>
  <xr:revisionPtr revIDLastSave="0" documentId="13_ncr:20001_{A9487AF0-154D-494C-BCB0-6152768EE20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Empresas" sheetId="1" r:id="rId1"/>
    <sheet name="Contactos" sheetId="2" r:id="rId2"/>
    <sheet name="Hoja2" sheetId="3" state="hidden" r:id="rId3"/>
    <sheet name="LEADS CARGADOS EN SF" sheetId="4" state="hidden" r:id="rId4"/>
    <sheet name="Parametros" sheetId="5" state="hidden" r:id="rId5"/>
    <sheet name="EMPRESAS X INDUSTRIA" sheetId="6" state="hidden" r:id="rId6"/>
    <sheet name="Hoja1" sheetId="7" state="hidden" r:id="rId7"/>
    <sheet name="REVENEW X INDUSTRIAS" sheetId="8" state="hidden" r:id="rId8"/>
    <sheet name="Listas" sheetId="9" state="hidden" r:id="rId9"/>
    <sheet name="Oportunidades" sheetId="10" state="hidden" r:id="rId10"/>
    <sheet name="EMPRESAS MAYOR REVENEW" sheetId="11" state="hidden" r:id="rId11"/>
    <sheet name="MEDIDAS NEW LOGO 2026" sheetId="12" state="hidden" r:id="rId12"/>
    <sheet name="LEADS X SF" sheetId="13" state="hidden" r:id="rId13"/>
    <sheet name="CALLS AA" sheetId="14" state="hidden" r:id="rId14"/>
    <sheet name="Target Empresas Franco" sheetId="15" r:id="rId15"/>
  </sheets>
  <definedNames>
    <definedName name="_xlnm._FilterDatabase" localSheetId="5" hidden="1">'EMPRESAS X INDUSTRIA'!$H$85:$I$100</definedName>
    <definedName name="_xlnm._FilterDatabase" localSheetId="6" hidden="1">Hoja1!$C$3:$D$3</definedName>
  </definedNames>
  <calcPr calcId="191029"/>
  <pivotCaches>
    <pivotCache cacheId="4" r:id="rId16"/>
    <pivotCache cacheId="5" r:id="rId17"/>
    <pivotCache cacheId="6" r:id="rId18"/>
    <pivotCache cacheId="7" r:id="rId19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0" i="6" l="1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B21" i="2" s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B27" i="2"/>
  <c r="A27" i="2"/>
  <c r="A26" i="2"/>
  <c r="A25" i="2"/>
  <c r="A24" i="2"/>
  <c r="B23" i="2"/>
  <c r="A23" i="2"/>
  <c r="A22" i="2"/>
  <c r="A21" i="2"/>
  <c r="B20" i="2"/>
  <c r="A20" i="2"/>
  <c r="B19" i="2"/>
  <c r="A19" i="2"/>
  <c r="B18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B29" i="2" l="1"/>
  <c r="B31" i="2"/>
  <c r="B28" i="2"/>
  <c r="B26" i="2"/>
  <c r="B24" i="2"/>
  <c r="B25" i="2"/>
</calcChain>
</file>

<file path=xl/sharedStrings.xml><?xml version="1.0" encoding="utf-8"?>
<sst xmlns="http://schemas.openxmlformats.org/spreadsheetml/2006/main" count="9347" uniqueCount="4040">
  <si>
    <t>ID Contacto</t>
  </si>
  <si>
    <t>ID_Empresa</t>
  </si>
  <si>
    <t>EMPRESA</t>
  </si>
  <si>
    <t>NOMBRE</t>
  </si>
  <si>
    <t>PUESTO</t>
  </si>
  <si>
    <t>EMAIL</t>
  </si>
  <si>
    <t>TELEFONO</t>
  </si>
  <si>
    <t>LINKEDIN</t>
  </si>
  <si>
    <t>COMENTARIO</t>
  </si>
  <si>
    <t>IC N°</t>
  </si>
  <si>
    <t>SALESFORCE STATUS</t>
  </si>
  <si>
    <t>E001</t>
  </si>
  <si>
    <t>Godoy S.R.L.</t>
  </si>
  <si>
    <t>Thiago Benjamin Maia Gomez</t>
  </si>
  <si>
    <t>Jefa de Administracion de Sistemas</t>
  </si>
  <si>
    <t>thiago.ben@godoysrl.com.ar</t>
  </si>
  <si>
    <t>+54 9 92 906-2771</t>
  </si>
  <si>
    <t>https://www.linkedin.com/in/thiago-benjamin-maia-gomez-58</t>
  </si>
  <si>
    <t>Contacto en proceso.</t>
  </si>
  <si>
    <t>Alma Mia Diaz Maldonado</t>
  </si>
  <si>
    <t>Jefa de Informatica y Comunicaciones</t>
  </si>
  <si>
    <t>alma.mia.d@godoysrl.com.ar</t>
  </si>
  <si>
    <t>+54 9 30 979-8711</t>
  </si>
  <si>
    <t>https://www.linkedin.com/in/alma-mia-diaz-maldonado-38</t>
  </si>
  <si>
    <t>Lautaro Paz</t>
  </si>
  <si>
    <t>Encargado de Compras y Contrataciones</t>
  </si>
  <si>
    <t>lautaro.pa@godoysrl.com.ar</t>
  </si>
  <si>
    <t>+54 9 113 936-8541</t>
  </si>
  <si>
    <t>https://www.linkedin.com/in/lautaro-paz-54</t>
  </si>
  <si>
    <t>Delfina Milagros Ruiz</t>
  </si>
  <si>
    <t>Jefe de Desarrollo de Sistemas</t>
  </si>
  <si>
    <t>delfina.mi@godoysrl.com.ar</t>
  </si>
  <si>
    <t>+54 9 167 940-4728</t>
  </si>
  <si>
    <t>https://www.linkedin.com/in/delfina-milagros-ruiz-38</t>
  </si>
  <si>
    <t>E002</t>
  </si>
  <si>
    <t>Gonzalez S.A.</t>
  </si>
  <si>
    <t>Santino Ezequiel Nahiara Garcia Moreno</t>
  </si>
  <si>
    <t>Administrador IT</t>
  </si>
  <si>
    <t>santino.ez@gonzalezsa.com.ar</t>
  </si>
  <si>
    <t>https://www.linkedin.com/in/santino-ezequiel-nahiara-garcia-moreno-13</t>
  </si>
  <si>
    <t>Agostina Farias</t>
  </si>
  <si>
    <t>Auxiliar de Laboratorio de Informatica</t>
  </si>
  <si>
    <t>agostina.f@gonzalezsa.com.ar</t>
  </si>
  <si>
    <t>https://www.linkedin.com/in/agostina-farias-94</t>
  </si>
  <si>
    <t>Luisana Juan Ignacio Valdez Lopez</t>
  </si>
  <si>
    <t>Administrador de red</t>
  </si>
  <si>
    <t>luisana.ju@gonzalezsa.com.ar</t>
  </si>
  <si>
    <t>https://www.linkedin.com/in/luisana-juan-ignacio-valdez-lopez-34</t>
  </si>
  <si>
    <t>E003</t>
  </si>
  <si>
    <t>Perez Corp</t>
  </si>
  <si>
    <t>Martina Matias Romero Caceres</t>
  </si>
  <si>
    <t>Director de Proyecto</t>
  </si>
  <si>
    <t>martina.ma@perezcorp.com.ar</t>
  </si>
  <si>
    <t>https://www.linkedin.com/in/martina-matias-romero-caceres-61</t>
  </si>
  <si>
    <t>N/A</t>
  </si>
  <si>
    <t>Benitez Ltda.</t>
  </si>
  <si>
    <t>Sr(a). Olivia Silva</t>
  </si>
  <si>
    <t>Technical Operator Master</t>
  </si>
  <si>
    <t>sr(a)..oli@benitezltd.com.ar</t>
  </si>
  <si>
    <t>https://www.linkedin.com/in/sr(a).-olivia-silva-45</t>
  </si>
  <si>
    <t>Unqualified</t>
  </si>
  <si>
    <t>Martina Lorenzo Gutierrez Cordoba</t>
  </si>
  <si>
    <t>Gerente de Sistemas</t>
  </si>
  <si>
    <t>martina.lo@benitezltd.com.ar</t>
  </si>
  <si>
    <t>+54 9 46 891-5573</t>
  </si>
  <si>
    <t>https://www.linkedin.com/in/martina-lorenzo-gutierrez-cordoba-54</t>
  </si>
  <si>
    <t>Guadalupe Bautista Dominguez</t>
  </si>
  <si>
    <t>Help Desk IT</t>
  </si>
  <si>
    <t>https://www.linkedin.com/in/guadalupe-bautista-dominguez-92</t>
  </si>
  <si>
    <t>Julian Antonella Gomez Mendoza</t>
  </si>
  <si>
    <t>Responsable de Proyectos</t>
  </si>
  <si>
    <t>https://www.linkedin.com/in/julian-antonella-gomez-mendoza-75</t>
  </si>
  <si>
    <t>Dr(a). Vicente Romero</t>
  </si>
  <si>
    <t>Director de Tecnologia y Operaciones Tecnicas</t>
  </si>
  <si>
    <t>dr(a)..vic@benitezltd.com.ar</t>
  </si>
  <si>
    <t>+54 9 215 795-9785</t>
  </si>
  <si>
    <t>https://www.linkedin.com/in/dr(a).-vicente-romero-52</t>
  </si>
  <si>
    <t>E004</t>
  </si>
  <si>
    <t>Diaz Group</t>
  </si>
  <si>
    <t>Lautaro Benjamin Santiago Dominguez Alvarez</t>
  </si>
  <si>
    <t>Administrador de Sistemas e Infraestructura de Red</t>
  </si>
  <si>
    <t>lautaro.be@diazgroup.com.ar</t>
  </si>
  <si>
    <t>https://www.linkedin.com/in/lautaro-benjamin-santiago-dominguez-alvarez-13</t>
  </si>
  <si>
    <t>Mora Julieta Molina</t>
  </si>
  <si>
    <t>Director de TI</t>
  </si>
  <si>
    <t>mora.julie@diazgroup.com.ar</t>
  </si>
  <si>
    <t>+54 9 70 998-5279</t>
  </si>
  <si>
    <t>https://www.linkedin.com/in/mora-julieta-molina-32</t>
  </si>
  <si>
    <t>Julieta Diaz Caceres</t>
  </si>
  <si>
    <t>Coordinador de Tecnologia</t>
  </si>
  <si>
    <t>julieta.di@diazgroup.com.ar</t>
  </si>
  <si>
    <t>+54 9 146 139-2776</t>
  </si>
  <si>
    <t>Silva S.R.L.</t>
  </si>
  <si>
    <t>Dr(a). Valentin Benitez</t>
  </si>
  <si>
    <t>System Admin</t>
  </si>
  <si>
    <t>dr(a)..val@silvasrl.com.ar</t>
  </si>
  <si>
    <t>+54 9 233 453-6139</t>
  </si>
  <si>
    <t>https://www.linkedin.com/in/dr(a).-valentin-benitez-65</t>
  </si>
  <si>
    <t>Bianca Geronimo Campos</t>
  </si>
  <si>
    <t>Purchasing and Proc Manager</t>
  </si>
  <si>
    <t>bianca.ger@silvasrl.com.ar</t>
  </si>
  <si>
    <t>+54 9 272 218-7311</t>
  </si>
  <si>
    <t>https://www.linkedin.com/in/bianca-geronimo-campos-83</t>
  </si>
  <si>
    <t>Milagros Emilia Dominguez</t>
  </si>
  <si>
    <t>Technology Advisor</t>
  </si>
  <si>
    <t>milagros.e@silvasrl.com.ar</t>
  </si>
  <si>
    <t>+54 9 108 360-1727</t>
  </si>
  <si>
    <t>https://www.linkedin.com/in/milagros-emilia-dominguez-65</t>
  </si>
  <si>
    <t>Dr(a). Catalina Moyano</t>
  </si>
  <si>
    <t>IT Infraestructure Director</t>
  </si>
  <si>
    <t>dr(a)..cat@silvasrl.com.ar</t>
  </si>
  <si>
    <t>+54 9 11 632-9821</t>
  </si>
  <si>
    <t>https://www.linkedin.com/in/dr(a).-catalina-moyano-97</t>
  </si>
  <si>
    <t>E040</t>
  </si>
  <si>
    <t>Felicitas Francisco Diaz</t>
  </si>
  <si>
    <t>Subsecretario de Infraestructura</t>
  </si>
  <si>
    <t>felicitas.@silvasrl.com.ar</t>
  </si>
  <si>
    <t>+54 9 111 472-8066</t>
  </si>
  <si>
    <t>https://www.linkedin.com/in/felicitas-francisco-diaz-18</t>
  </si>
  <si>
    <t>Vega Corp</t>
  </si>
  <si>
    <t>Isabella Velazquez Cabrera</t>
  </si>
  <si>
    <t>Technology Infrastructure Manager</t>
  </si>
  <si>
    <t>isabella.v@vegacorp.com.ar</t>
  </si>
  <si>
    <t>+54 9 180 738-6143</t>
  </si>
  <si>
    <t>https://www.linkedin.com/in/isabella-velazquez-cabrera-94</t>
  </si>
  <si>
    <t>Facundo Cruz Silva</t>
  </si>
  <si>
    <t>CTO</t>
  </si>
  <si>
    <t>facundo.cr@vegacorp.com.ar</t>
  </si>
  <si>
    <t>+54 9 74 837-5920</t>
  </si>
  <si>
    <t>https://www.linkedin.com/in/facundo-cruz-silva-74</t>
  </si>
  <si>
    <t>Morena Martinez</t>
  </si>
  <si>
    <t>Jefe de depto de OP</t>
  </si>
  <si>
    <t>morena.mar@vegacorp.com.ar</t>
  </si>
  <si>
    <t>+54 9 169 782-7691</t>
  </si>
  <si>
    <t>https://www.linkedin.com/in/morena-martinez-51</t>
  </si>
  <si>
    <t>Gonzalez Ltda.</t>
  </si>
  <si>
    <t>Uma Guzman Cruz</t>
  </si>
  <si>
    <t>Coordinador de Administración</t>
  </si>
  <si>
    <t>uma.guzman@gonzalezlt.com.ar</t>
  </si>
  <si>
    <t>+54 9 217 813-5844</t>
  </si>
  <si>
    <t>https://www.linkedin.com/in/uma-guzman-cruz-80</t>
  </si>
  <si>
    <t>Delfina Cordoba</t>
  </si>
  <si>
    <t>Director de OP</t>
  </si>
  <si>
    <t>delfina.co@gonzalezlt.com.ar</t>
  </si>
  <si>
    <t>+54 9 76 296-7888</t>
  </si>
  <si>
    <t>https://www.linkedin.com/in/delfina-cordoba-95</t>
  </si>
  <si>
    <t>Dr(a). Isabella Martinez</t>
  </si>
  <si>
    <t>Director Provincial</t>
  </si>
  <si>
    <t>dr(a)..isa@gonzalezlt.com.ar</t>
  </si>
  <si>
    <t>+54 9 205 793-3851</t>
  </si>
  <si>
    <t>https://www.linkedin.com/in/dr(a).-isabella-martinez-88</t>
  </si>
  <si>
    <t>Martinez Group</t>
  </si>
  <si>
    <t>Facundo Figueroa Carrizo</t>
  </si>
  <si>
    <t>Managing Partner</t>
  </si>
  <si>
    <t>facundo.fi@martinezgr.com.ar</t>
  </si>
  <si>
    <t>+54 9 165 515-9977</t>
  </si>
  <si>
    <t>https://www.linkedin.com/in/facundo-figueroa-carrizo-10</t>
  </si>
  <si>
    <t>E043</t>
  </si>
  <si>
    <t>Dr(a). Maria Guadalupe Paez</t>
  </si>
  <si>
    <t>dr(a)..mar@martinezgr.com.ar</t>
  </si>
  <si>
    <t>+54 9 166 393-4443</t>
  </si>
  <si>
    <t>Dr(a). Ludmila Molina</t>
  </si>
  <si>
    <t>Office Administrator</t>
  </si>
  <si>
    <t>dr(a)..lud@martinezgr.com.ar</t>
  </si>
  <si>
    <t>https://www.linkedin.com/in/dr(a).-ludmila-molina-65</t>
  </si>
  <si>
    <t>E005</t>
  </si>
  <si>
    <t>Ponce Group</t>
  </si>
  <si>
    <t>Maria Emilia Agustin Perez</t>
  </si>
  <si>
    <t>Coordinador de TI</t>
  </si>
  <si>
    <t>maria.emil@poncegroup.com.ar</t>
  </si>
  <si>
    <t>+54 9 175 576-8238</t>
  </si>
  <si>
    <t>https://www.linkedin.com/in/maria-emilia-agustin-perez-66</t>
  </si>
  <si>
    <t>Giuliana Victoria Ramos</t>
  </si>
  <si>
    <t>Jefe de Compras</t>
  </si>
  <si>
    <t>giuliana.v@poncegroup.com.ar</t>
  </si>
  <si>
    <t>+54 9 120 623-8752</t>
  </si>
  <si>
    <t>https://www.linkedin.com/in/giuliana-victoria-ramos-31</t>
  </si>
  <si>
    <t>Lucía Perez</t>
  </si>
  <si>
    <t>Gerente de Compras</t>
  </si>
  <si>
    <t>lucía.pere@poncegroup.com.ar</t>
  </si>
  <si>
    <t>https://www.linkedin.com/in/lucía-perez-94</t>
  </si>
  <si>
    <t>Luz Milagros Martinez Romero</t>
  </si>
  <si>
    <t>Administrador de redes</t>
  </si>
  <si>
    <t>luz.milagr@poncegroup.com.ar</t>
  </si>
  <si>
    <t>https://www.linkedin.com/in/luz-milagros-martinez-romero-20</t>
  </si>
  <si>
    <t>E006</t>
  </si>
  <si>
    <t>Peralta S.A.S.</t>
  </si>
  <si>
    <t>Sr(a). Valentino Martinez</t>
  </si>
  <si>
    <t>Director de Tecnologia</t>
  </si>
  <si>
    <t>sr(a)..val@peraltasas.com.ar</t>
  </si>
  <si>
    <t>+54 9 156 627-6491</t>
  </si>
  <si>
    <t>https://www.linkedin.com/in/sr(a).-valentino-martinez-21</t>
  </si>
  <si>
    <t>Lucia Bautista Ramirez</t>
  </si>
  <si>
    <t>Director de Compras y Suministros</t>
  </si>
  <si>
    <t>lucia.baut@peraltasas.com.ar</t>
  </si>
  <si>
    <t>E007</t>
  </si>
  <si>
    <t>Paez S.R.L.</t>
  </si>
  <si>
    <t>Dr(a). Ciro Diaz</t>
  </si>
  <si>
    <t>Director de Tranformacion Digital</t>
  </si>
  <si>
    <t>dr(a)..cir@paezsrl.com.ar</t>
  </si>
  <si>
    <t>https://www.linkedin.com/in/dr(a).-ciro-diaz-40</t>
  </si>
  <si>
    <t>Francesca Vazquez</t>
  </si>
  <si>
    <t>Jefe de Sistemas</t>
  </si>
  <si>
    <t>francesca.@paezsrl.com.ar</t>
  </si>
  <si>
    <t>https://www.linkedin.com/in/francesca-vazquez-96</t>
  </si>
  <si>
    <t>E008</t>
  </si>
  <si>
    <t>Rodriguez S.R.L.</t>
  </si>
  <si>
    <t>Jazmín Vazquez Alvarez</t>
  </si>
  <si>
    <t>Supervisor de Sistemas</t>
  </si>
  <si>
    <t>jazmín.vaz@rodriguezs.com.ar</t>
  </si>
  <si>
    <t>https://www.linkedin.com/in/jazmín-vazquez-alvarez-49</t>
  </si>
  <si>
    <t>Thiago Joaquin Garcia Alvarez</t>
  </si>
  <si>
    <t>Supervisor Informatico</t>
  </si>
  <si>
    <t>thiago.joa@rodriguezs.com.ar</t>
  </si>
  <si>
    <t>https://www.linkedin.com/in/thiago-joaquin-garcia-alvarez-38</t>
  </si>
  <si>
    <t>Mateo Benjamin Ponce</t>
  </si>
  <si>
    <t>Tecnico de Soporte IT</t>
  </si>
  <si>
    <t>https://www.linkedin.com/in/mateo-benjamin-ponce-35</t>
  </si>
  <si>
    <t>Sr(a). Pilar Perez</t>
  </si>
  <si>
    <t>Coordinador de desarrollo de proyectos</t>
  </si>
  <si>
    <t>https://www.linkedin.com/in/sr(a).-pilar-perez-28</t>
  </si>
  <si>
    <t>E009</t>
  </si>
  <si>
    <t>Flores Internacional</t>
  </si>
  <si>
    <t>Martina Romero</t>
  </si>
  <si>
    <t>CEO</t>
  </si>
  <si>
    <t>martina.ro@floresinte.com.ar</t>
  </si>
  <si>
    <t>+54 9 23 147-5011</t>
  </si>
  <si>
    <t>https://www.linkedin.com/in/martina-romero-70</t>
  </si>
  <si>
    <t>Lisandro Mansilla</t>
  </si>
  <si>
    <t>Jefa de Compras</t>
  </si>
  <si>
    <t>lisandro.m@floresinte.com.ar</t>
  </si>
  <si>
    <t>+54 9 48 566-7790</t>
  </si>
  <si>
    <t>https://www.linkedin.com/in/lisandro-mansilla-90</t>
  </si>
  <si>
    <t>Lautaro Gabriel Mateo Benjamin Barrios</t>
  </si>
  <si>
    <t>lautaro.ga@floresinte.com.ar</t>
  </si>
  <si>
    <t>+54 9 110 835-7291</t>
  </si>
  <si>
    <t>https://www.linkedin.com/in/lautaro-gabriel-mateo-benjamin-barrios-73</t>
  </si>
  <si>
    <t>Luna Internacional</t>
  </si>
  <si>
    <t>Catalina Flores Aguero</t>
  </si>
  <si>
    <t>IT Support on technical systems</t>
  </si>
  <si>
    <t>catalina.f@lunaintern.com.ar</t>
  </si>
  <si>
    <t>+54 9 135 251-1090</t>
  </si>
  <si>
    <t>https://www.linkedin.com/in/catalina-flores-aguero-23</t>
  </si>
  <si>
    <t>Isabella Olivia Diaz</t>
  </si>
  <si>
    <t>Technical Specialist</t>
  </si>
  <si>
    <t>isabella.o@lunaintern.com.ar</t>
  </si>
  <si>
    <t>https://www.linkedin.com/in/isabella-olivia-diaz-64</t>
  </si>
  <si>
    <t>Alma Emiliano Garcia Duarte</t>
  </si>
  <si>
    <t>alma.emili@lunaintern.com.ar</t>
  </si>
  <si>
    <t>+54 9 123 280-9486</t>
  </si>
  <si>
    <t>https://www.linkedin.com/in/alma-emiliano-garcia-duarte-69</t>
  </si>
  <si>
    <t>Valentina Rodriguez</t>
  </si>
  <si>
    <t>Especialista en Ciberseguridad</t>
  </si>
  <si>
    <t>valentina.@lunaintern.com.ar</t>
  </si>
  <si>
    <t>+54 9 36 670-5082</t>
  </si>
  <si>
    <t>https://www.linkedin.com/in/valentina-rodriguez-25</t>
  </si>
  <si>
    <t>E010</t>
  </si>
  <si>
    <t>Lautaro Ezequiel Rodriguez Moyano</t>
  </si>
  <si>
    <t>lautaro.ez@gonzalezsa.com.ar</t>
  </si>
  <si>
    <t>+54 9 244 236-8612</t>
  </si>
  <si>
    <t>https://www.linkedin.com/in/lautaro-ezequiel-rodriguez-moyano-95</t>
  </si>
  <si>
    <t>E011</t>
  </si>
  <si>
    <t>Diaz S.A.</t>
  </si>
  <si>
    <t>Lara Fausto Ferreyra</t>
  </si>
  <si>
    <t>lara.faust@diazsa.com.ar</t>
  </si>
  <si>
    <t>+54 9 282 672-6198</t>
  </si>
  <si>
    <t>https://www.linkedin.com/in/lara-fausto-ferreyra-66</t>
  </si>
  <si>
    <t>Maria Guadalupe Diaz Gonzalez</t>
  </si>
  <si>
    <t>Project Manager</t>
  </si>
  <si>
    <t>maria.guad@diazsa.com.ar</t>
  </si>
  <si>
    <t>https://www.linkedin.com/in/maria-guadalupe-diaz-gonzalez-88</t>
  </si>
  <si>
    <t>E012</t>
  </si>
  <si>
    <t>Gimenez S.R.L.</t>
  </si>
  <si>
    <t>Emma Agustin Gomez</t>
  </si>
  <si>
    <t>Director de TIC</t>
  </si>
  <si>
    <t>emma.agust@gimenezsrl.com.ar</t>
  </si>
  <si>
    <t>https://www.linkedin.com/in/emma-agustin-gomez-74</t>
  </si>
  <si>
    <t>Duarte Internacional</t>
  </si>
  <si>
    <t>Constanza Vazquez</t>
  </si>
  <si>
    <t>constanza.@duarteinte.com.ar</t>
  </si>
  <si>
    <t>https://www.linkedin.com/in/constanza-vazquez-80</t>
  </si>
  <si>
    <t>Sofía Ciro Benjamin Vera</t>
  </si>
  <si>
    <t>Seller</t>
  </si>
  <si>
    <t>+54 9 239 262-8777</t>
  </si>
  <si>
    <t>https://www.linkedin.com/in/sofía-ciro-benjamin-vera-67</t>
  </si>
  <si>
    <t>Ciro Benjamin Santino Gonzalez</t>
  </si>
  <si>
    <t>ciro.benja@duarteinte.com.ar</t>
  </si>
  <si>
    <t>https://www.linkedin.com/in/ciro-benjamin-santino-gonzalez-43</t>
  </si>
  <si>
    <t>Dante Luz Maria Torres Acuña</t>
  </si>
  <si>
    <t>Recursos Humanos</t>
  </si>
  <si>
    <t>dante.luz.@duarteinte.com.ar</t>
  </si>
  <si>
    <t>+54 9 137 960-5543</t>
  </si>
  <si>
    <t>E013</t>
  </si>
  <si>
    <t>Gonzalez Group</t>
  </si>
  <si>
    <t>Bautista Helena Morales</t>
  </si>
  <si>
    <t>Gerenta de Compras</t>
  </si>
  <si>
    <t>https://www.linkedin.com/in/bautista-helena-morales-76</t>
  </si>
  <si>
    <t>Gomez Argentina</t>
  </si>
  <si>
    <t>Mia Jazmin Juan Martin Gomez Velazquez</t>
  </si>
  <si>
    <t>Gerente TI</t>
  </si>
  <si>
    <t>mia.jazmin@gomezargen.com.ar</t>
  </si>
  <si>
    <t>+54 9 133 381-8206</t>
  </si>
  <si>
    <t>https://www.linkedin.com/in/mia-jazmin-juan-martin-gomez-velazquez-19</t>
  </si>
  <si>
    <t>Lautaro Flores Torres</t>
  </si>
  <si>
    <t>Consultor de TI</t>
  </si>
  <si>
    <t>lautaro.fl@gomezargen.com.ar</t>
  </si>
  <si>
    <t>+54 9 157 340-5451</t>
  </si>
  <si>
    <t>https://www.linkedin.com/in/lautaro-flores-torres-52</t>
  </si>
  <si>
    <t>Gimenez Ltda.</t>
  </si>
  <si>
    <t>Benjamin Ciro Aguirre Benitez</t>
  </si>
  <si>
    <t>+54 9 287 182-3267</t>
  </si>
  <si>
    <t>E014</t>
  </si>
  <si>
    <t>Juan Manuel Milena Vega Benitez</t>
  </si>
  <si>
    <t>Gerente de Produccion y Sistemas</t>
  </si>
  <si>
    <t>juan.manue@diazgroup.com.ar</t>
  </si>
  <si>
    <t>https://www.linkedin.com/in/juan-manuel-milena-vega-benitez-29</t>
  </si>
  <si>
    <t>E015</t>
  </si>
  <si>
    <t>Ferreyra S.A.</t>
  </si>
  <si>
    <t>Dr(a). Mora Ayala</t>
  </si>
  <si>
    <t>IT Manager</t>
  </si>
  <si>
    <t>dr(a)..mor@ferreyrasa.com.ar</t>
  </si>
  <si>
    <t>+54 9 129 492-3503</t>
  </si>
  <si>
    <t>https://www.linkedin.com/in/dr(a).-mora-ayala-37</t>
  </si>
  <si>
    <t>Valentin Paz</t>
  </si>
  <si>
    <t>Analista de Infraestructura IT</t>
  </si>
  <si>
    <t>valentin.p@ferreyrasa.com.ar</t>
  </si>
  <si>
    <t>https://www.linkedin.com/in/valentin-paz-18</t>
  </si>
  <si>
    <t>E016</t>
  </si>
  <si>
    <t>Molina Group</t>
  </si>
  <si>
    <t>Dr(a). Juan Cruz Martinez</t>
  </si>
  <si>
    <t>Manager of Networking</t>
  </si>
  <si>
    <t>dr(a)..jua@molinagrou.com.ar</t>
  </si>
  <si>
    <t>+54 9 223 517-6421</t>
  </si>
  <si>
    <t>https://www.linkedin.com/in/dr(a).-juan-cruz-martinez-79</t>
  </si>
  <si>
    <t>Victoria Acosta Cardozo</t>
  </si>
  <si>
    <t>Gerente de Infraestructura</t>
  </si>
  <si>
    <t>victoria.a@molinagrou.com.ar</t>
  </si>
  <si>
    <t>+54 9 249 525-2020</t>
  </si>
  <si>
    <t>https://www.linkedin.com/in/victoria-acosta-cardozo-36</t>
  </si>
  <si>
    <t>E017</t>
  </si>
  <si>
    <t>Diaz Internacional</t>
  </si>
  <si>
    <t>Dr(a). Alma Aguirre</t>
  </si>
  <si>
    <t>dr(a)..alm@diazintern.com.ar</t>
  </si>
  <si>
    <t>https://www.linkedin.com/in/dr(a).-alma-aguirre-63</t>
  </si>
  <si>
    <t>E018</t>
  </si>
  <si>
    <t>Nuñez Group</t>
  </si>
  <si>
    <t>Joaquin Delfina Figueroa Romero</t>
  </si>
  <si>
    <t>Responsable de Infraestructura IT</t>
  </si>
  <si>
    <t>joaquin.de@nuñezgroup.com.ar</t>
  </si>
  <si>
    <t>https://www.linkedin.com/in/joaquin-delfina-figueroa-romero-59</t>
  </si>
  <si>
    <t>Dr(a). Lautaro Benjamin Gutierrez</t>
  </si>
  <si>
    <t>Tecnico de Hardware</t>
  </si>
  <si>
    <t>dr(a)..lau@nuñezgroup.com.ar</t>
  </si>
  <si>
    <t>https://www.linkedin.com/in/dr(a).-lautaro-benjamin-gutierrez-84</t>
  </si>
  <si>
    <t>Lopez S.A.</t>
  </si>
  <si>
    <t>Joaquín Pilar Navarro</t>
  </si>
  <si>
    <t>Finance Manager</t>
  </si>
  <si>
    <t>joaquín.pi@lopezsa.com.ar</t>
  </si>
  <si>
    <t>+54 9 205 588-1096</t>
  </si>
  <si>
    <t>https://www.linkedin.com/in/joaquín-pilar-navarro-55</t>
  </si>
  <si>
    <t>Mia Valentina Aguirre</t>
  </si>
  <si>
    <t>General Manager</t>
  </si>
  <si>
    <t>mia.valent@lopezsa.com.ar</t>
  </si>
  <si>
    <t>+54 9 163 871-7389</t>
  </si>
  <si>
    <t>https://www.linkedin.com/in/mia-valentina-aguirre-63</t>
  </si>
  <si>
    <t>+54 9 286 865-9947</t>
  </si>
  <si>
    <t>Catalina Diaz Ledesma</t>
  </si>
  <si>
    <t>Head of Marketing</t>
  </si>
  <si>
    <t>catalina.d@lopezsa.com.ar</t>
  </si>
  <si>
    <t>+54 9 123 599-4595</t>
  </si>
  <si>
    <t>Sanchez Corp</t>
  </si>
  <si>
    <t>benjamin.c@sanchezcor.com.ar</t>
  </si>
  <si>
    <t>+54 9 234 597-1475</t>
  </si>
  <si>
    <t>Nuñez Internacional</t>
  </si>
  <si>
    <t>benjamin.c@nuñezinter.com.ar</t>
  </si>
  <si>
    <t>E054</t>
  </si>
  <si>
    <t>Maidana Ltda.</t>
  </si>
  <si>
    <t>Nicolas Romero</t>
  </si>
  <si>
    <t>nicolas.ro@maidanaltd.com.ar</t>
  </si>
  <si>
    <t>+54 9 183 784-7624</t>
  </si>
  <si>
    <t>Dr(a). Lautaro Acosta</t>
  </si>
  <si>
    <t>Director de Finanzas</t>
  </si>
  <si>
    <t>dr(a)..lau@maidanaltd.com.ar</t>
  </si>
  <si>
    <t>+54 9 95 960-8657</t>
  </si>
  <si>
    <t>https://www.linkedin.com/in/dr(a).-lautaro-acosta-26</t>
  </si>
  <si>
    <t>Valentina Juan Ignacio Lopez Gomez</t>
  </si>
  <si>
    <t>Regional Finance Manager</t>
  </si>
  <si>
    <t>valentina.@maidanaltd.com.ar</t>
  </si>
  <si>
    <t>+54 9 284 127-7455</t>
  </si>
  <si>
    <t>https://www.linkedin.com/in/valentina-juan-ignacio-lopez-gomez-85</t>
  </si>
  <si>
    <t>Sales Assigned</t>
  </si>
  <si>
    <t>Sr(a). Santiago Ponce</t>
  </si>
  <si>
    <t xml:space="preserve">Jefe IT regional </t>
  </si>
  <si>
    <t>sr(a)..san@maidanaltd.com.ar</t>
  </si>
  <si>
    <t>+54 9 299 778-1444</t>
  </si>
  <si>
    <t>https://www.linkedin.com/in/sr(a).-santiago-ponce-20</t>
  </si>
  <si>
    <t>E055</t>
  </si>
  <si>
    <t>Perez Internacional</t>
  </si>
  <si>
    <t>Dr(a). Giovanni Miranda</t>
  </si>
  <si>
    <t>Director de Ventas</t>
  </si>
  <si>
    <t>dr(a)..gio@perezinter.com.ar</t>
  </si>
  <si>
    <t>https://www.linkedin.com/in/dr(a).-giovanni-miranda-27</t>
  </si>
  <si>
    <t>E056</t>
  </si>
  <si>
    <t>Garcia Argentina</t>
  </si>
  <si>
    <t>Joaquin Benjamin Rojas Perez</t>
  </si>
  <si>
    <t>+54 9 104 151-5262</t>
  </si>
  <si>
    <t>gsiciliano@hormi-block.com.ar</t>
  </si>
  <si>
    <t>E057</t>
  </si>
  <si>
    <t>Bravo Internacional</t>
  </si>
  <si>
    <t>Dr(a). Genaro Fernandez</t>
  </si>
  <si>
    <t>Director</t>
  </si>
  <si>
    <t>+54 9 178 316-8449</t>
  </si>
  <si>
    <t>https://www.linkedin.com/in/dr(a).-genaro-fernandez-51</t>
  </si>
  <si>
    <t>E059</t>
  </si>
  <si>
    <t>Aguero Ltda.</t>
  </si>
  <si>
    <t>Santino Gonzalez</t>
  </si>
  <si>
    <t>santino.go@agueroltda.com.ar</t>
  </si>
  <si>
    <t>+54 9 205 384-7906</t>
  </si>
  <si>
    <t>E058</t>
  </si>
  <si>
    <t>Ojeda Group</t>
  </si>
  <si>
    <t>Valentin Simon Lopez Rodriguez</t>
  </si>
  <si>
    <t xml:space="preserve">Sistemas </t>
  </si>
  <si>
    <t>valentin.s@ojedagroup.com.ar</t>
  </si>
  <si>
    <t>E060</t>
  </si>
  <si>
    <t>Alvarez S.R.L.</t>
  </si>
  <si>
    <t>Juan Ignacio Rodriguez</t>
  </si>
  <si>
    <t>Gerente IT</t>
  </si>
  <si>
    <t>juan.ignac@alvarezsrl.com.ar</t>
  </si>
  <si>
    <t>+54 9 140 954-2341</t>
  </si>
  <si>
    <t>https://www.linkedin.com/in/juan-ignacio-rodriguez-70</t>
  </si>
  <si>
    <t>E061</t>
  </si>
  <si>
    <t>Aguirre S.A.</t>
  </si>
  <si>
    <t>Sr(a). Felipe Correa</t>
  </si>
  <si>
    <t>Finanzas</t>
  </si>
  <si>
    <t>sr(a)..fel@aguirresa.com.ar</t>
  </si>
  <si>
    <t>+54 9 287 153-6733</t>
  </si>
  <si>
    <t>Duarte Group</t>
  </si>
  <si>
    <t>Priscila Gomez Coronel</t>
  </si>
  <si>
    <t>Jefe de Operaciones</t>
  </si>
  <si>
    <t>priscila.g@duartegrou.com.ar</t>
  </si>
  <si>
    <t>+54 9 46 899-1659</t>
  </si>
  <si>
    <t>E062</t>
  </si>
  <si>
    <t>Godoy Group</t>
  </si>
  <si>
    <t>Sr(a). Octavio Alvarez</t>
  </si>
  <si>
    <t>Dueño</t>
  </si>
  <si>
    <t>sr(a)..oct@godoygroup.com.ar</t>
  </si>
  <si>
    <t>+54 9 26 353-4266</t>
  </si>
  <si>
    <t>renato@lorenzati.com</t>
  </si>
  <si>
    <t>lorenzati@nutrim.com</t>
  </si>
  <si>
    <t>E071</t>
  </si>
  <si>
    <t>Bustos S.A.</t>
  </si>
  <si>
    <t>Candela Juan Sebastian Sanchez Rios</t>
  </si>
  <si>
    <t>candela.ju@bustossa.com.ar</t>
  </si>
  <si>
    <t>+54 9 89 344-3068</t>
  </si>
  <si>
    <t>Cabrera Argentina</t>
  </si>
  <si>
    <t>Abigail Diaz Diaz</t>
  </si>
  <si>
    <t>Sistemas</t>
  </si>
  <si>
    <t>abigail.di@cabreraarg.com.ar</t>
  </si>
  <si>
    <t>+54 9 69 677-4571</t>
  </si>
  <si>
    <t>E081</t>
  </si>
  <si>
    <t>Castro Argentina</t>
  </si>
  <si>
    <t>Mateo Lopez Rodriguez</t>
  </si>
  <si>
    <t>Jefe de IT</t>
  </si>
  <si>
    <t>mateo.lope@castroarge.com.ar</t>
  </si>
  <si>
    <t>E082</t>
  </si>
  <si>
    <t>Perez S.A.S.</t>
  </si>
  <si>
    <t>Renata Ledesma Herrera</t>
  </si>
  <si>
    <t>renata.led@perezsas.com.ar</t>
  </si>
  <si>
    <t>+54 9 249 816-5198</t>
  </si>
  <si>
    <t>https://www.linkedin.com/in/renata-ledesma-herrera-57</t>
  </si>
  <si>
    <t>E083</t>
  </si>
  <si>
    <t>Gonzalez S.A.S.</t>
  </si>
  <si>
    <t>Lucia Federico Acosta Castillo</t>
  </si>
  <si>
    <t>lucia.fede@gonzalezsa.com.ar</t>
  </si>
  <si>
    <t>+54 9 69 896-3683</t>
  </si>
  <si>
    <t>E019</t>
  </si>
  <si>
    <t>Correa Argentina</t>
  </si>
  <si>
    <t>Maia Lucía Dominguez Maidana</t>
  </si>
  <si>
    <t>COO</t>
  </si>
  <si>
    <t>maia.lucía@correaarge.com.ar</t>
  </si>
  <si>
    <t>+54 9 170 210-1420</t>
  </si>
  <si>
    <t>https://www.linkedin.com/in/maia-lucía-dominguez-maidana-49</t>
  </si>
  <si>
    <t>Juan Ignacio Martinez</t>
  </si>
  <si>
    <t>juan.ignac@correaarge.com.ar</t>
  </si>
  <si>
    <t>+54 9 203 506-4249</t>
  </si>
  <si>
    <t>https://www.linkedin.com/in/juan-ignacio-martinez-19</t>
  </si>
  <si>
    <t>E020</t>
  </si>
  <si>
    <t>Gonzalez Corp</t>
  </si>
  <si>
    <t>Luz Maria Ezequiel Rodriguez</t>
  </si>
  <si>
    <t>luz.maria.@gonzalezco.com.ar</t>
  </si>
  <si>
    <t>+54 9 135 204-5941</t>
  </si>
  <si>
    <t>https://www.linkedin.com/in/luz-maria-ezequiel-rodriguez-97</t>
  </si>
  <si>
    <t>Sol Mia Paz</t>
  </si>
  <si>
    <t>Subgerente de Sistemas</t>
  </si>
  <si>
    <t>sol.mia.pa@gonzalezco.com.ar</t>
  </si>
  <si>
    <t>https://www.linkedin.com/in/sol-mia-paz-86</t>
  </si>
  <si>
    <t>E021</t>
  </si>
  <si>
    <t>Cordoba S.A.</t>
  </si>
  <si>
    <t>Simon Valentin Sanchez Ruiz</t>
  </si>
  <si>
    <t>Auxiliar de Sistemas</t>
  </si>
  <si>
    <t>simon.vale@cordobasa.com.ar</t>
  </si>
  <si>
    <t>https://www.linkedin.com/in/simon-valentin-sanchez-ruiz-25</t>
  </si>
  <si>
    <t>Guillermina Morena Rodriguez Gonzalez</t>
  </si>
  <si>
    <t xml:space="preserve">Encargado de Compras  </t>
  </si>
  <si>
    <t>https://www.linkedin.com/in/guillermina-morena-rodriguez-gonzalez-82</t>
  </si>
  <si>
    <t>Abril Juarez</t>
  </si>
  <si>
    <t>Team Leader IT</t>
  </si>
  <si>
    <t>abril.juar@cordobasa.com.ar</t>
  </si>
  <si>
    <t>https://www.linkedin.com/in/abril-juarez-15</t>
  </si>
  <si>
    <t>E022</t>
  </si>
  <si>
    <t>Quiroga S.A.S.</t>
  </si>
  <si>
    <t>Catalina Soto Miranda</t>
  </si>
  <si>
    <t>catalina.s@quirogasas.com.ar</t>
  </si>
  <si>
    <t>+54 9 188 645-8018</t>
  </si>
  <si>
    <t>https://www.linkedin.com/in/catalina-soto-miranda-94</t>
  </si>
  <si>
    <t>Sr(a). Angel Gabriel Carrizo</t>
  </si>
  <si>
    <t>Buyer Analyst</t>
  </si>
  <si>
    <t>sr(a)..ang@quirogasas.com.ar</t>
  </si>
  <si>
    <t>+54 9 200 170-9289</t>
  </si>
  <si>
    <t>https://www.linkedin.com/in/sr(a).-angel-gabriel-carrizo-92</t>
  </si>
  <si>
    <t>Dante Paulina Lopez Gutierrez</t>
  </si>
  <si>
    <t>Coordinador de Mejora Continua</t>
  </si>
  <si>
    <t>dante.paul@quirogasas.com.ar</t>
  </si>
  <si>
    <t>+54 9 185 112-7882</t>
  </si>
  <si>
    <t>https://www.linkedin.com/in/dante-paulina-lopez-gutierrez-72</t>
  </si>
  <si>
    <t>E084</t>
  </si>
  <si>
    <t>Benitez S.R.L.</t>
  </si>
  <si>
    <t>Joaquin Maria Victoria Godoy Aguirre</t>
  </si>
  <si>
    <t>joaquin.ma@benitezsrl.com.ar</t>
  </si>
  <si>
    <t>+54 9 232 470-8532</t>
  </si>
  <si>
    <t>Valentin Ramirez Sanchez</t>
  </si>
  <si>
    <t>valentin.r@benitezsrl.com.ar</t>
  </si>
  <si>
    <t>+54 9 89 545-3885</t>
  </si>
  <si>
    <t>E085</t>
  </si>
  <si>
    <t>Mendoza S.A.S.</t>
  </si>
  <si>
    <t>Jazmín Romero Ledesma</t>
  </si>
  <si>
    <t>+54 9 278 766-5425</t>
  </si>
  <si>
    <t>E086</t>
  </si>
  <si>
    <t>Ruiz Group</t>
  </si>
  <si>
    <t>Antonella Camila Coronel Gonzalez</t>
  </si>
  <si>
    <t>antonella.@ruizgroup.com.ar</t>
  </si>
  <si>
    <t>+54 9 286 893-8921</t>
  </si>
  <si>
    <t>Josefina Sanchez Valdez</t>
  </si>
  <si>
    <t>OP Manager</t>
  </si>
  <si>
    <t>josefina.s@ruizgroup.com.ar</t>
  </si>
  <si>
    <t>+54 9 249 546-5397</t>
  </si>
  <si>
    <t>E023</t>
  </si>
  <si>
    <t>Romero Internacional</t>
  </si>
  <si>
    <t>Santino Ezequiel Paz</t>
  </si>
  <si>
    <t>santino.ez@romerointe.com.ar</t>
  </si>
  <si>
    <t>https://www.linkedin.com/in/santino-ezequiel-paz-51</t>
  </si>
  <si>
    <t>Milagros Molina Ramirez</t>
  </si>
  <si>
    <t>milagros.m@romerointe.com.ar</t>
  </si>
  <si>
    <t>+54 9 136 950-2419</t>
  </si>
  <si>
    <t>https://www.linkedin.com/in/milagros-molina-ramirez-45</t>
  </si>
  <si>
    <t>Maximo Julian Aguirre</t>
  </si>
  <si>
    <t>maximo.jul@romerointe.com.ar</t>
  </si>
  <si>
    <t>+54 9 241 349-8613</t>
  </si>
  <si>
    <t>https://www.linkedin.com/in/maximo-julian-aguirre-82</t>
  </si>
  <si>
    <t>E088</t>
  </si>
  <si>
    <t>Franco Internacional</t>
  </si>
  <si>
    <t>Alejo Diaz</t>
  </si>
  <si>
    <t>alejo.diaz@francointe.com.ar</t>
  </si>
  <si>
    <t>+54 9 205 444-1470</t>
  </si>
  <si>
    <t>Sr(a). Dylan Benitez</t>
  </si>
  <si>
    <t>Purchasing Manager</t>
  </si>
  <si>
    <t>sr(a)..dyl@francointe.com.ar</t>
  </si>
  <si>
    <t>+54 9 264 971-6325</t>
  </si>
  <si>
    <t>E089</t>
  </si>
  <si>
    <t>Gimenez Internacional</t>
  </si>
  <si>
    <t>Juan Ignacio Valdez</t>
  </si>
  <si>
    <t>Admin Infra IT</t>
  </si>
  <si>
    <t>juan.ignac@gimenezint.com.ar</t>
  </si>
  <si>
    <t>E090</t>
  </si>
  <si>
    <t>Cabrera S.A.S.</t>
  </si>
  <si>
    <t>Paloma Josefina Gonzalez</t>
  </si>
  <si>
    <t>Head of Finance</t>
  </si>
  <si>
    <t>paloma.jos@cabrerasas.com.ar</t>
  </si>
  <si>
    <t>Catalina Toledo</t>
  </si>
  <si>
    <t>Head of IT</t>
  </si>
  <si>
    <t>catalina.t@cabrerasas.com.ar</t>
  </si>
  <si>
    <t>+54 9 260 317-6813</t>
  </si>
  <si>
    <t>Malena Gomez Miranda</t>
  </si>
  <si>
    <t>CFO</t>
  </si>
  <si>
    <t>malena.gom@cabrerasas.com.ar</t>
  </si>
  <si>
    <t>E097</t>
  </si>
  <si>
    <t>Alvarez S.A.S.</t>
  </si>
  <si>
    <t>Paula Garcia</t>
  </si>
  <si>
    <t>Head of Purchasing</t>
  </si>
  <si>
    <t>+54 9 143 448-5581</t>
  </si>
  <si>
    <t>https://www.linkedin.com/in/paula-garcia-86</t>
  </si>
  <si>
    <t>E098</t>
  </si>
  <si>
    <t>Miguel Angel Chavez</t>
  </si>
  <si>
    <t>miguel.ang@vegacorp.com.ar</t>
  </si>
  <si>
    <t>+54 9 295 110-9464</t>
  </si>
  <si>
    <t>Facundo Felipe Lopez</t>
  </si>
  <si>
    <t>Director IT</t>
  </si>
  <si>
    <t>+54 9 108 187-4954</t>
  </si>
  <si>
    <t>Sr(a). Santino Ezequiel Perez</t>
  </si>
  <si>
    <t>Data Managment</t>
  </si>
  <si>
    <t>+54 9 219 600-4937</t>
  </si>
  <si>
    <t>Alma Caceres</t>
  </si>
  <si>
    <t>alma.cacer@vegacorp.com.ar</t>
  </si>
  <si>
    <t>+54 9 254 761-9041</t>
  </si>
  <si>
    <t>E099</t>
  </si>
  <si>
    <t>Perez Argentina</t>
  </si>
  <si>
    <t>Emilia Garcia Nuñez</t>
  </si>
  <si>
    <t>emilia.gar@perezargen.com.ar</t>
  </si>
  <si>
    <t>+54 9 19 195-5820</t>
  </si>
  <si>
    <t>E024</t>
  </si>
  <si>
    <t>Fernandez Ltda.</t>
  </si>
  <si>
    <t>Santino Ezequiel Acosta</t>
  </si>
  <si>
    <t>Tecnico IT</t>
  </si>
  <si>
    <t>santino.ez@fernandezl.com.ar</t>
  </si>
  <si>
    <t>E025</t>
  </si>
  <si>
    <t>Campos Corp</t>
  </si>
  <si>
    <t>Lautaro Molina</t>
  </si>
  <si>
    <t>+54 9 124 514-4986</t>
  </si>
  <si>
    <t>https://www.linkedin.com/in/lautaro-molina-49</t>
  </si>
  <si>
    <t>E105</t>
  </si>
  <si>
    <t>Molina Ltda.</t>
  </si>
  <si>
    <t>Paula Aguero</t>
  </si>
  <si>
    <t>OP System Admin</t>
  </si>
  <si>
    <t>Franco Francisco Ramos</t>
  </si>
  <si>
    <t>+54 9 253 666-9698</t>
  </si>
  <si>
    <t>E106</t>
  </si>
  <si>
    <t>Lucia Correa</t>
  </si>
  <si>
    <t>Lider IT</t>
  </si>
  <si>
    <t>lucia.corr@gonzalezlt.com.ar</t>
  </si>
  <si>
    <t>+54 9 228 863-6419</t>
  </si>
  <si>
    <t>dmontenegro@gypnqn.com.ar</t>
  </si>
  <si>
    <t>E108</t>
  </si>
  <si>
    <t>Alvarez Ltda.</t>
  </si>
  <si>
    <t>Guillermina Martina Gimenez</t>
  </si>
  <si>
    <t>Gerente Tecnico</t>
  </si>
  <si>
    <t>guillermin@alvarezltd.com.ar</t>
  </si>
  <si>
    <t>+54 9 243 377-6023</t>
  </si>
  <si>
    <t>https://www.linkedin.com/in/guillermina-martina-gimenez-42</t>
  </si>
  <si>
    <t>E026</t>
  </si>
  <si>
    <t>Romero S.A.S.</t>
  </si>
  <si>
    <t>Dr(a). Tiziana Hernandez</t>
  </si>
  <si>
    <t>dr(a)..tiz@romerosas.com.ar</t>
  </si>
  <si>
    <t>https://www.linkedin.com/in/dr(a).-tiziana-hernandez-39</t>
  </si>
  <si>
    <t>E107</t>
  </si>
  <si>
    <t>Dr(a). Benjamin Fernandez</t>
  </si>
  <si>
    <t>Admin Financiero</t>
  </si>
  <si>
    <t>dr(a)..ben@benitezsrl.com.ar</t>
  </si>
  <si>
    <t>+54 9 109 423-2958</t>
  </si>
  <si>
    <t>Bautista Sofia Belen Perez</t>
  </si>
  <si>
    <t>Administrativo Financier</t>
  </si>
  <si>
    <t>bautista.s@benitezsrl.com.ar</t>
  </si>
  <si>
    <t>+54 9 285 880-4033</t>
  </si>
  <si>
    <t>Rios Group</t>
  </si>
  <si>
    <t>Lara Roldan</t>
  </si>
  <si>
    <t>lara.rolda@riosgroup.com.ar</t>
  </si>
  <si>
    <t>E109</t>
  </si>
  <si>
    <t>Roldan Group</t>
  </si>
  <si>
    <t>Dr(a). Benjamin Alejandro Morales</t>
  </si>
  <si>
    <t>Subdirector IT</t>
  </si>
  <si>
    <t>dr(a)..ben@roldangrou.com.ar</t>
  </si>
  <si>
    <t>+54 9 258 383-9595</t>
  </si>
  <si>
    <t>Converted</t>
  </si>
  <si>
    <t>Luna Gonzalez</t>
  </si>
  <si>
    <t>Director de IT</t>
  </si>
  <si>
    <t>luna.gonza@roldangrou.com.ar</t>
  </si>
  <si>
    <t>+54 9 155 202-4180</t>
  </si>
  <si>
    <t>Francisco Castillo Garcia</t>
  </si>
  <si>
    <t>Area de Informatica</t>
  </si>
  <si>
    <t>francisco.@roldangrou.com.ar</t>
  </si>
  <si>
    <t>+54 9 162 332-6912</t>
  </si>
  <si>
    <t>E027</t>
  </si>
  <si>
    <t>Gomez Group</t>
  </si>
  <si>
    <t>Thiago Valentin Lorenzo Gomez</t>
  </si>
  <si>
    <t>Administrador de Infraestructura IT</t>
  </si>
  <si>
    <t>thiago.val@gomezgroup.com.ar</t>
  </si>
  <si>
    <t>+54 9 102 409-1231</t>
  </si>
  <si>
    <t>https://www.linkedin.com/in/thiago-valentin-lorenzo-gomez-78</t>
  </si>
  <si>
    <t>Simon Ledesma Barrios</t>
  </si>
  <si>
    <t>Gerente de Operaciones y Proyectos</t>
  </si>
  <si>
    <t>https://www.linkedin.com/in/simon-ledesma-barrios-26</t>
  </si>
  <si>
    <t>Juan Cruz Rodriguez Sosa</t>
  </si>
  <si>
    <t>Supervisor de Operaciones Tecnicas</t>
  </si>
  <si>
    <t>juan.cruz.@gomezgroup.com.ar</t>
  </si>
  <si>
    <t>https://www.linkedin.com/in/juan-cruz-rodriguez-sosa-45</t>
  </si>
  <si>
    <t>Felipe Pereyra</t>
  </si>
  <si>
    <t>Telecommunications Project Manager</t>
  </si>
  <si>
    <t>felipe.per@gomezgroup.com.ar</t>
  </si>
  <si>
    <t>https://www.linkedin.com/in/felipe-pereyra-15</t>
  </si>
  <si>
    <t>E051</t>
  </si>
  <si>
    <t>Gonzalez Internacional</t>
  </si>
  <si>
    <t>Sr(a). Mateo Rodriguez</t>
  </si>
  <si>
    <t>Gerente de Proyectos</t>
  </si>
  <si>
    <t>sr(a)..mat@gonzalezin.com.ar</t>
  </si>
  <si>
    <t>+54 9 38 666-5786</t>
  </si>
  <si>
    <t>https://www.linkedin.com/in/sr(a).-mateo-rodriguez-99</t>
  </si>
  <si>
    <t>Ana Paula Martinez</t>
  </si>
  <si>
    <t>Coordinador de Compras</t>
  </si>
  <si>
    <t>ana.paula.@gonzalezin.com.ar</t>
  </si>
  <si>
    <t>+54 9 75 753-9042</t>
  </si>
  <si>
    <t>https://www.linkedin.com/in/ana-paula-martinez-23</t>
  </si>
  <si>
    <t>Sr(a). Francisco Godoy</t>
  </si>
  <si>
    <t>OP Leader</t>
  </si>
  <si>
    <t>sr(a)..fra@gonzalezin.com.ar</t>
  </si>
  <si>
    <t>+54 9 17 687-5658</t>
  </si>
  <si>
    <t>https://www.linkedin.com/in/sr(a).-francisco-godoy-70</t>
  </si>
  <si>
    <t>Valentina Gonzalez</t>
  </si>
  <si>
    <t>Manager IT</t>
  </si>
  <si>
    <t>valentina.@gonzalezin.com.ar</t>
  </si>
  <si>
    <t>E101</t>
  </si>
  <si>
    <t>Cordoba Argentina</t>
  </si>
  <si>
    <t>Agostina Mateo Benitez Romero</t>
  </si>
  <si>
    <t>agostina.m@cordobaarg.com.ar</t>
  </si>
  <si>
    <t>+54 9 236 448-4020</t>
  </si>
  <si>
    <t>E103</t>
  </si>
  <si>
    <t>Nuñez S.A.</t>
  </si>
  <si>
    <t>Helena Medina</t>
  </si>
  <si>
    <t>Coordinador de IT</t>
  </si>
  <si>
    <t>helena.med@nuñezsa.com.ar</t>
  </si>
  <si>
    <t>+54 9 140 982-8827</t>
  </si>
  <si>
    <t>https://www.linkedin.com/in/helena-medina-24</t>
  </si>
  <si>
    <t>Sofia Olivia Suarez Martinez</t>
  </si>
  <si>
    <t>Responsables de Equipos IT</t>
  </si>
  <si>
    <t>sofia.oliv@nuñezsa.com.ar</t>
  </si>
  <si>
    <t>+54 9 44 510-9056</t>
  </si>
  <si>
    <t>https://www.linkedin.com/in/sofia-olivia-suarez-martinez-19</t>
  </si>
  <si>
    <t>Dr(a). Dante Toledo</t>
  </si>
  <si>
    <t>dr(a)..dan@nuñezsa.com.ar</t>
  </si>
  <si>
    <t>+54 9 38 255-3444</t>
  </si>
  <si>
    <t>https://www.linkedin.com/in/dr(a).-dante-toledo-82</t>
  </si>
  <si>
    <t>E047</t>
  </si>
  <si>
    <t>Garcia Corp</t>
  </si>
  <si>
    <t>Victoria Ortiz</t>
  </si>
  <si>
    <t>Managment Evaluation Analyst</t>
  </si>
  <si>
    <t>victoria.o@garciacorp.com.ar</t>
  </si>
  <si>
    <t>+54 9 54 354-2940</t>
  </si>
  <si>
    <t>https://www.linkedin.com/in/victoria-ortiz-81</t>
  </si>
  <si>
    <t>Thiago Emanuel Villalba Miranda</t>
  </si>
  <si>
    <t xml:space="preserve">Administrativo </t>
  </si>
  <si>
    <t>thiago.ema@garciacorp.com.ar</t>
  </si>
  <si>
    <t>+54 9 224 720-4697</t>
  </si>
  <si>
    <t>https://www.linkedin.com/in/thiago-emanuel-villalba-miranda-76</t>
  </si>
  <si>
    <t>Octavio Francisco Figueroa Diaz</t>
  </si>
  <si>
    <t>Responsable Infraestructura IT</t>
  </si>
  <si>
    <t>octavio.fr@garciacorp.com.ar</t>
  </si>
  <si>
    <t>+54 9 205 561-8253</t>
  </si>
  <si>
    <t>https://www.linkedin.com/in/octavio-francisco-figueroa-diaz-48</t>
  </si>
  <si>
    <t>Julian Agostina Muñoz</t>
  </si>
  <si>
    <t>Gte Infraestructura IT</t>
  </si>
  <si>
    <t>julian.ago@garciacorp.com.ar</t>
  </si>
  <si>
    <t>+54 9 230 412-1986</t>
  </si>
  <si>
    <t>https://www.linkedin.com/in/julian-agostina-muñoz-88</t>
  </si>
  <si>
    <t>monteroj@bpn.com.ar</t>
  </si>
  <si>
    <t>Lucía Alvaro Moreno</t>
  </si>
  <si>
    <t>Gerente Sistemas</t>
  </si>
  <si>
    <t>lucía.alva@garciacorp.com.ar</t>
  </si>
  <si>
    <t>+54 9 61 881-4404</t>
  </si>
  <si>
    <t>https://www.linkedin.com/in/lucía-alvaro-moreno-90</t>
  </si>
  <si>
    <t>E094</t>
  </si>
  <si>
    <t>Sanchez Group</t>
  </si>
  <si>
    <t>Martina Torres</t>
  </si>
  <si>
    <t>martina.to@sanchezgro.com.ar</t>
  </si>
  <si>
    <t>+54 9 146 776-2330</t>
  </si>
  <si>
    <t>https://www.linkedin.com/in/martina-torres-30</t>
  </si>
  <si>
    <t>Catalina Juana Cardozo</t>
  </si>
  <si>
    <t>+54 9 133 277-2229</t>
  </si>
  <si>
    <t>https://www.linkedin.com/in/catalina-juana-cardozo-30</t>
  </si>
  <si>
    <t>Sofia Maia Lucero</t>
  </si>
  <si>
    <t>Country Manager</t>
  </si>
  <si>
    <t>sofia.maia@sanchezgro.com.ar</t>
  </si>
  <si>
    <t>+54 9 12 518-8381</t>
  </si>
  <si>
    <t>https://www.linkedin.com/in/sofia-maia-lucero-98</t>
  </si>
  <si>
    <t>Julia Ian Ezequiel Rivero Perez</t>
  </si>
  <si>
    <t>Director Financiero</t>
  </si>
  <si>
    <t>julia.ian.@sanchezgro.com.ar</t>
  </si>
  <si>
    <t>+54 9 251 398-1534</t>
  </si>
  <si>
    <t>https://www.linkedin.com/in/julia-ian-ezequiel-rivero-perez-39</t>
  </si>
  <si>
    <t>Nahiara Garcia</t>
  </si>
  <si>
    <t>CIO</t>
  </si>
  <si>
    <t>nahiara.ga@sanchezgro.com.ar</t>
  </si>
  <si>
    <t>+54 9 158 823-5632</t>
  </si>
  <si>
    <t>https://www.linkedin.com/in/nahiara-garcia-99</t>
  </si>
  <si>
    <t>E092</t>
  </si>
  <si>
    <t>Aguero Argentina</t>
  </si>
  <si>
    <t>Valentin Rodriguez Navarro</t>
  </si>
  <si>
    <t>Control de OP</t>
  </si>
  <si>
    <t>valentin.r@agueroarge.com.ar</t>
  </si>
  <si>
    <t>+54 9 47 803-4824</t>
  </si>
  <si>
    <t>https://www.linkedin.com/in/valentin-rodriguez-navarro-43</t>
  </si>
  <si>
    <t>Candela Lisandro Chavez</t>
  </si>
  <si>
    <t>candela.li@agueroarge.com.ar</t>
  </si>
  <si>
    <t>+54 9 112 535-2880</t>
  </si>
  <si>
    <t>Dr(a). Catalina Ruiz</t>
  </si>
  <si>
    <t>Admin Systems &amp; Networks</t>
  </si>
  <si>
    <t>dr(a)..cat@agueroarge.com.ar</t>
  </si>
  <si>
    <t>+54 9 289 330-3441</t>
  </si>
  <si>
    <t>Mateo Benjamin Facundo Carrizo Carrizo</t>
  </si>
  <si>
    <t xml:space="preserve">Jefe de Sistemas </t>
  </si>
  <si>
    <t>mateo.benj@agueroarge.com.ar</t>
  </si>
  <si>
    <t>+54 9 147 946-3330</t>
  </si>
  <si>
    <t>E028</t>
  </si>
  <si>
    <t>Gomez Ltda.</t>
  </si>
  <si>
    <t>Dr(a). Gael Acuña</t>
  </si>
  <si>
    <t>Jefe de Infraestructura</t>
  </si>
  <si>
    <t>dr(a)..gae@gomezltda.com.ar</t>
  </si>
  <si>
    <t>+54 9 47 161-3718</t>
  </si>
  <si>
    <t>https://www.linkedin.com/in/dr(a).-gael-acuña-49</t>
  </si>
  <si>
    <t>E029</t>
  </si>
  <si>
    <t>Farias S.R.L.</t>
  </si>
  <si>
    <t>Amparo Herrera Rios</t>
  </si>
  <si>
    <t>Gerente Comercial</t>
  </si>
  <si>
    <t>+54 9 158 549-3037</t>
  </si>
  <si>
    <t>https://www.linkedin.com/in/amparo-herrera-rios-69</t>
  </si>
  <si>
    <t>Dr(a). Uma  Diaz</t>
  </si>
  <si>
    <t>Jefa de Operaciones</t>
  </si>
  <si>
    <t>dr(a)..uma@fariassrl.com.ar</t>
  </si>
  <si>
    <t>https://www.linkedin.com/in/dr(a).-uma--diaz-98</t>
  </si>
  <si>
    <t>E064</t>
  </si>
  <si>
    <t>Rodriguez Corp</t>
  </si>
  <si>
    <t>Nahuel Sanchez</t>
  </si>
  <si>
    <t>Presidente</t>
  </si>
  <si>
    <t>nahuel.san@rodriguezc.com.ar</t>
  </si>
  <si>
    <t>+54 9 217 378-9199</t>
  </si>
  <si>
    <t>https://www.linkedin.com/in/nahuel-sanchez-79</t>
  </si>
  <si>
    <t>Juan Ignacio Gonzalez</t>
  </si>
  <si>
    <t>juan.ignac@rodriguezc.com.ar</t>
  </si>
  <si>
    <t>+54 9 263 548-2317</t>
  </si>
  <si>
    <t>Julieta Aguirre Gomez</t>
  </si>
  <si>
    <t>Head of Procurement</t>
  </si>
  <si>
    <t>+54 9 31 542-6280</t>
  </si>
  <si>
    <t>Sr(a). Francesca Torres</t>
  </si>
  <si>
    <t>Jefe IT</t>
  </si>
  <si>
    <t>sr(a)..fra@rodriguezc.com.ar</t>
  </si>
  <si>
    <t>+54 9 139 126-2496</t>
  </si>
  <si>
    <t>https://www.linkedin.com/in/sr(a).-francesca-torres-39</t>
  </si>
  <si>
    <t>E065</t>
  </si>
  <si>
    <t>Duarte S.A.</t>
  </si>
  <si>
    <t>Dr(a). Salvador Ojeda</t>
  </si>
  <si>
    <t>Gte Financiero</t>
  </si>
  <si>
    <t>dr(a)..sal@duartesa.com.ar</t>
  </si>
  <si>
    <t>+54 9 148 690-1659</t>
  </si>
  <si>
    <t>https://www.linkedin.com/in/dr(a).-salvador-ojeda-32</t>
  </si>
  <si>
    <t>Ambar Miranda</t>
  </si>
  <si>
    <t>Gte de Compras</t>
  </si>
  <si>
    <t>ambar.mira@duartesa.com.ar</t>
  </si>
  <si>
    <t>+54 9 251 631-8245</t>
  </si>
  <si>
    <t>https://www.linkedin.com/in/ambar-miranda-45</t>
  </si>
  <si>
    <t>Dr(a). Luisana Garcia</t>
  </si>
  <si>
    <t>dr(a)..lui@duartesa.com.ar</t>
  </si>
  <si>
    <t>+54 9 103 699-8141</t>
  </si>
  <si>
    <t>https://www.linkedin.com/in/dr(a).-luisana-garcia-91</t>
  </si>
  <si>
    <t>E053</t>
  </si>
  <si>
    <t>Ledesma Argentina</t>
  </si>
  <si>
    <t>Simon Maria Guadalupe Mendez</t>
  </si>
  <si>
    <t>simon.mari@ledesmaarg.com.ar</t>
  </si>
  <si>
    <t>+54 9 57 581-6700</t>
  </si>
  <si>
    <t>https://www.linkedin.com/in/simon-maria-guadalupe-mendez-62</t>
  </si>
  <si>
    <t>Lautaro Gabriel Torres Mendoza</t>
  </si>
  <si>
    <t>Gerente de Operaciones</t>
  </si>
  <si>
    <t>lautaro.ga@ledesmaarg.com.ar</t>
  </si>
  <si>
    <t>+54 9 181 428-2713</t>
  </si>
  <si>
    <t>https://www.linkedin.com/in/lautaro-gabriel-torres-mendoza-30</t>
  </si>
  <si>
    <t>Isabella Victoria Martin Duarte</t>
  </si>
  <si>
    <t>isabella.v@ledesmaarg.com.ar</t>
  </si>
  <si>
    <t>+54 9 179 521-9117</t>
  </si>
  <si>
    <t>https://www.linkedin.com/in/isabella-victoria-martin-duarte-46</t>
  </si>
  <si>
    <t>Catalina Diaz</t>
  </si>
  <si>
    <t>Gte Compras</t>
  </si>
  <si>
    <t>catalina.d@ledesmaarg.com.ar</t>
  </si>
  <si>
    <t>+54 9 216 933-1601</t>
  </si>
  <si>
    <t>https://www.linkedin.com/in/catalina-diaz-68</t>
  </si>
  <si>
    <t>E044</t>
  </si>
  <si>
    <t>Isabella Romero Olivera</t>
  </si>
  <si>
    <t>isabella.r@godoysrl.com.ar</t>
  </si>
  <si>
    <t>+54 9 172 358-6296</t>
  </si>
  <si>
    <t>https://www.linkedin.com/in/isabella-romero-olivera-24</t>
  </si>
  <si>
    <t>Sr(a). Bautista Coronel</t>
  </si>
  <si>
    <t>Infraestructura</t>
  </si>
  <si>
    <t>sr(a)..bau@godoysrl.com.ar</t>
  </si>
  <si>
    <t>+54 9 217 985-9431</t>
  </si>
  <si>
    <t>https://www.linkedin.com/in/sr(a).-bautista-coronel-10</t>
  </si>
  <si>
    <t>Maria Victoria Zoe Valentina Martinez</t>
  </si>
  <si>
    <t>Dir de Op</t>
  </si>
  <si>
    <t>maria.vict@godoysrl.com.ar</t>
  </si>
  <si>
    <t>+54 9 288 573-7770</t>
  </si>
  <si>
    <t>https://www.linkedin.com/in/maria-victoria-zoe-valentina-martinez-16</t>
  </si>
  <si>
    <t>Francesco Mia Garcia</t>
  </si>
  <si>
    <t>francesco.@godoysrl.com.ar</t>
  </si>
  <si>
    <t>Charo Juan Pablo Figueroa</t>
  </si>
  <si>
    <t>charo.juan@godoysrl.com.ar</t>
  </si>
  <si>
    <t>https://www.linkedin.com/in/charo-juan-pablo-figueroa-34</t>
  </si>
  <si>
    <t>E045</t>
  </si>
  <si>
    <t>Rodriguez S.A.</t>
  </si>
  <si>
    <t>Antonella Gonzalez Gonzalez</t>
  </si>
  <si>
    <t>Cofounder</t>
  </si>
  <si>
    <t>antonella.@rodriguezs.com.ar</t>
  </si>
  <si>
    <t>+54 9 276 470-9167</t>
  </si>
  <si>
    <t>https://www.linkedin.com/in/antonella-gonzalez-gonzalez-90</t>
  </si>
  <si>
    <t>Salvador Benjamin Perez</t>
  </si>
  <si>
    <t>Responsable IT</t>
  </si>
  <si>
    <t>salvador.b@rodriguezs.com.ar</t>
  </si>
  <si>
    <t>+54 9 237 878-1845</t>
  </si>
  <si>
    <t>https://www.linkedin.com/in/salvador-benjamin-perez-36</t>
  </si>
  <si>
    <t>ederico.fernin@energy</t>
  </si>
  <si>
    <t>Thiago Nicolas Bruno Villalba</t>
  </si>
  <si>
    <t>thiago.nic@rodriguezs.com.ar</t>
  </si>
  <si>
    <t>+54 9 147 662-3146</t>
  </si>
  <si>
    <t>https://www.linkedin.com/in/thiago-nicolas-bruno-villalba-46</t>
  </si>
  <si>
    <t>Tomàs Sosa</t>
  </si>
  <si>
    <t>IT Leader</t>
  </si>
  <si>
    <t>tomàs.sosa@rodriguezs.com.ar</t>
  </si>
  <si>
    <t>+54 9 235 815-8941</t>
  </si>
  <si>
    <t>https://www.linkedin.com/in/tomàs-sosa-25</t>
  </si>
  <si>
    <t>Sr(a). Facundo Diaz</t>
  </si>
  <si>
    <t>Gerente OP</t>
  </si>
  <si>
    <t>sr(a)..fac@rodriguezs.com.ar</t>
  </si>
  <si>
    <t>+54 9 25 745-4920</t>
  </si>
  <si>
    <t>https://www.linkedin.com/in/sr(a).-facundo-diaz-30</t>
  </si>
  <si>
    <t>Sr(a). Ian Benjamin Bustos</t>
  </si>
  <si>
    <t>Lider de Compras</t>
  </si>
  <si>
    <t>sr(a)..ian@rodriguezs.com.ar</t>
  </si>
  <si>
    <t>+54 9 170 664-1224</t>
  </si>
  <si>
    <t>https://www.linkedin.com/in/sr(a).-ian-benjamin-bustos-80</t>
  </si>
  <si>
    <t>Dr(a). Malena Soto</t>
  </si>
  <si>
    <t>dr(a)..mal@rodriguezs.com.ar</t>
  </si>
  <si>
    <t>+54 9 219 195-4681</t>
  </si>
  <si>
    <t>https://www.linkedin.com/in/dr(a).-malena-soto-24</t>
  </si>
  <si>
    <t>Mateo Joaquin Farias Flores</t>
  </si>
  <si>
    <t>mateo.joaq@rodriguezs.com.ar</t>
  </si>
  <si>
    <t>+54 9 247 220-3522</t>
  </si>
  <si>
    <t>https://www.linkedin.com/in/mateo-joaquin-farias-flores-73</t>
  </si>
  <si>
    <t>Morena Bustos Rodriguez</t>
  </si>
  <si>
    <t>NN</t>
  </si>
  <si>
    <t>morena.bus@rodriguezs.com.ar</t>
  </si>
  <si>
    <t>+54 9 160 621-5479</t>
  </si>
  <si>
    <t>https://www.linkedin.com/in/morena-bustos-rodriguez-63</t>
  </si>
  <si>
    <t>Juan Cruz Fernandez Fernandez</t>
  </si>
  <si>
    <t>juan.cruz.@rodriguezs.com.ar</t>
  </si>
  <si>
    <t>+54 9 258 583-4993</t>
  </si>
  <si>
    <t>https://www.linkedin.com/in/juan-cruz-fernandez-fernandez-68</t>
  </si>
  <si>
    <t>Dr(a). Olivia Luna</t>
  </si>
  <si>
    <t>Gerente de Tesoreria</t>
  </si>
  <si>
    <t>dr(a)..oli@rodriguezs.com.ar</t>
  </si>
  <si>
    <t>https://www.linkedin.com/in/dr(a).-olivia-luna-80</t>
  </si>
  <si>
    <t>E030</t>
  </si>
  <si>
    <t>Juarez S.R.L.</t>
  </si>
  <si>
    <t>Facundo Sofía Gomez Quiroga</t>
  </si>
  <si>
    <t>Administrador de Redes</t>
  </si>
  <si>
    <t>Sr(a). Pedro Paez</t>
  </si>
  <si>
    <t>sr(a)..ped@juarezsrl.com.ar</t>
  </si>
  <si>
    <t>+54 9 85 492-4122</t>
  </si>
  <si>
    <t>https://www.linkedin.com/in/sr(a).-pedro-paez-86</t>
  </si>
  <si>
    <t>E031</t>
  </si>
  <si>
    <t>Cordoba Internacional</t>
  </si>
  <si>
    <t>Alma Acosta</t>
  </si>
  <si>
    <t>alma.acost@cordobaint.com.ar</t>
  </si>
  <si>
    <t>https://www.linkedin.com/in/alma-acosta-75</t>
  </si>
  <si>
    <t>E032</t>
  </si>
  <si>
    <t>Ojeda S.R.L.</t>
  </si>
  <si>
    <t>Sebastian Sanchez</t>
  </si>
  <si>
    <t>Lider de Operaciones</t>
  </si>
  <si>
    <t>sebastian.@ojedasrl.com.ar</t>
  </si>
  <si>
    <t>https://www.linkedin.com/in/sebastian-sanchez-27</t>
  </si>
  <si>
    <t>Vicente Thiago Fernandez Blanco</t>
  </si>
  <si>
    <t>Responsable de Compras</t>
  </si>
  <si>
    <t>https://www.linkedin.com/in/vicente-thiago-fernandez-blanco-18</t>
  </si>
  <si>
    <t>E033</t>
  </si>
  <si>
    <t>Rojas Ltda.</t>
  </si>
  <si>
    <t>Catalina Rodriguez Benitez</t>
  </si>
  <si>
    <t>Marketing</t>
  </si>
  <si>
    <t>+54 9 152 891-7798</t>
  </si>
  <si>
    <t>https://www.linkedin.com/in/catalina-rodriguez-benitez-53</t>
  </si>
  <si>
    <t>E104</t>
  </si>
  <si>
    <t>Castillo Corp</t>
  </si>
  <si>
    <t>Nina Lautaro Benjamin Nuñez Castro</t>
  </si>
  <si>
    <t>+54 9 270 373-1042</t>
  </si>
  <si>
    <t>https://www.linkedin.com/in/nina-lautaro-benjamin-nuñez-castro-46</t>
  </si>
  <si>
    <t>E034</t>
  </si>
  <si>
    <t>Valdez Ltda.</t>
  </si>
  <si>
    <t>Valentina  Renata Hernandez Acuña</t>
  </si>
  <si>
    <t>Tecnica de redes</t>
  </si>
  <si>
    <t>valentina.@valdezltda.com.ar</t>
  </si>
  <si>
    <t>https://www.linkedin.com/in/valentina--renata-hernandez-acuña-48</t>
  </si>
  <si>
    <t>Joaquina Muñoz</t>
  </si>
  <si>
    <t>joaquina.m@valdezltda.com.ar</t>
  </si>
  <si>
    <t>https://www.linkedin.com/in/joaquina-muñoz-85</t>
  </si>
  <si>
    <t>E046</t>
  </si>
  <si>
    <t>Juan Martin Lautaro Silva Diaz</t>
  </si>
  <si>
    <t>Supervisor de OP</t>
  </si>
  <si>
    <t>juan.marti@martinezgr.com.ar</t>
  </si>
  <si>
    <t>+54 9 261 986-3434</t>
  </si>
  <si>
    <t>https://www.linkedin.com/in/juan-martin-lautaro-silva-diaz-67</t>
  </si>
  <si>
    <t>Francisco Gomez</t>
  </si>
  <si>
    <t>Manager OP</t>
  </si>
  <si>
    <t>+54 9 286 595-6654</t>
  </si>
  <si>
    <t>https://www.linkedin.com/in/francisco-gomez-52</t>
  </si>
  <si>
    <t>Dr(a). Juan Ignacio Garcia</t>
  </si>
  <si>
    <t>dr(a)..jua@martinezgr.com.ar</t>
  </si>
  <si>
    <t>+54 9 293 881-9903</t>
  </si>
  <si>
    <t>https://www.linkedin.com/in/dr(a).-juan-ignacio-garcia-58</t>
  </si>
  <si>
    <t>E035</t>
  </si>
  <si>
    <t>Alvarez Corp</t>
  </si>
  <si>
    <t>Micaela Juan Gabriel Bravo</t>
  </si>
  <si>
    <t>Atencion a Proveedores</t>
  </si>
  <si>
    <t>micaela.ju@alvarezcor.com.ar</t>
  </si>
  <si>
    <t>+54 9 244 429-4090</t>
  </si>
  <si>
    <t>https://www.linkedin.com/in/micaela-juan-gabriel-bravo-99</t>
  </si>
  <si>
    <t>Sr(a). Tomas Dominguez</t>
  </si>
  <si>
    <t>Analista IT, Networking, seguridad</t>
  </si>
  <si>
    <t>+54 9 133 685-7274</t>
  </si>
  <si>
    <t>https://www.linkedin.com/in/sr(a).-tomas-dominguez-39</t>
  </si>
  <si>
    <t>Martina Victoria Coronel Ayala</t>
  </si>
  <si>
    <t>Analista de sistemas IT</t>
  </si>
  <si>
    <t>+54 9 221 144-6213</t>
  </si>
  <si>
    <t>https://www.linkedin.com/in/martina-victoria-coronel-ayala-70</t>
  </si>
  <si>
    <t>E036</t>
  </si>
  <si>
    <t>Molina S.A.</t>
  </si>
  <si>
    <t>Benjamin Tiziana Ortiz Ruiz</t>
  </si>
  <si>
    <t>Jefe de Compras corp</t>
  </si>
  <si>
    <t>+54 9 206 495-3492</t>
  </si>
  <si>
    <t>https://www.linkedin.com/in/benjamin-tiziana-ortiz-ruiz-73</t>
  </si>
  <si>
    <t>Thiago Nicolas Emanuel Gomez</t>
  </si>
  <si>
    <t>Comprador</t>
  </si>
  <si>
    <t>https://www.linkedin.com/in/thiago-nicolas-emanuel-gomez-14</t>
  </si>
  <si>
    <t>Sr(a). Thiago Acosta</t>
  </si>
  <si>
    <t>Especialista en TI</t>
  </si>
  <si>
    <t>https://www.linkedin.com/in/sr(a).-thiago-acosta-26</t>
  </si>
  <si>
    <t>Thiago Joaquín Ramos</t>
  </si>
  <si>
    <t>Especialista en Soporte tecnico</t>
  </si>
  <si>
    <t>https://www.linkedin.com/in/thiago-joaquín-ramos-74</t>
  </si>
  <si>
    <t>E048</t>
  </si>
  <si>
    <t>Garcia S.R.L.</t>
  </si>
  <si>
    <t>Sr(a). Lautaro Nicolas Fernandez</t>
  </si>
  <si>
    <t>sr(a)..lau@garciasrl.com.ar</t>
  </si>
  <si>
    <t>+54 9 180 990-2644</t>
  </si>
  <si>
    <t>https://www.linkedin.com/in/sr(a).-lautaro-nicolas-fernandez-66</t>
  </si>
  <si>
    <t>Sr(a). Amparo Perez</t>
  </si>
  <si>
    <t>Desarrollo de Negocios</t>
  </si>
  <si>
    <t>+54 9 62 638-8486</t>
  </si>
  <si>
    <t>https://www.linkedin.com/in/sr(a).-amparo-perez-11</t>
  </si>
  <si>
    <t>Dominguez S.A.S.</t>
  </si>
  <si>
    <t>Sofía Ramirez</t>
  </si>
  <si>
    <t>sofía.rami@dominguezs.com.ar</t>
  </si>
  <si>
    <t>Zoe Juan Ignacio Flores</t>
  </si>
  <si>
    <t>zoe.juan.i@dominguezs.com.ar</t>
  </si>
  <si>
    <t>https://www.linkedin.com/in/zoe-juan-ignacio-flores-62</t>
  </si>
  <si>
    <t>E037</t>
  </si>
  <si>
    <t>Rivero Argentina</t>
  </si>
  <si>
    <t>Agostina Mia Pereyra Sanchez</t>
  </si>
  <si>
    <t>Gerente de Tecnologia y Sistemas</t>
  </si>
  <si>
    <t>agostina.m@riveroarge.com.ar</t>
  </si>
  <si>
    <t>Camila Matias Gonzalez</t>
  </si>
  <si>
    <t>Analista de Seguridad Informatica</t>
  </si>
  <si>
    <t>camila.mat@riveroarge.com.ar</t>
  </si>
  <si>
    <t>Rosario Camilo Coronel Garcia</t>
  </si>
  <si>
    <t>Tecnico de TI</t>
  </si>
  <si>
    <t>rosario.ca@riveroarge.com.ar</t>
  </si>
  <si>
    <t>+54 9 90 176-8692</t>
  </si>
  <si>
    <t>https://www.linkedin.com/in/rosario-camilo-coronel-garcia-43</t>
  </si>
  <si>
    <t>E038</t>
  </si>
  <si>
    <t>Rios S.R.L.</t>
  </si>
  <si>
    <t>Benjamin Cardozo Lopez</t>
  </si>
  <si>
    <t>benjamin.c@riossrl.com.ar</t>
  </si>
  <si>
    <t>https://www.linkedin.com/in/benjamin-cardozo-lopez-53</t>
  </si>
  <si>
    <t>E050</t>
  </si>
  <si>
    <t>Torres S.R.L.</t>
  </si>
  <si>
    <t>Julia Martinez</t>
  </si>
  <si>
    <t>Asistente de Compras</t>
  </si>
  <si>
    <t>julia.mart@torressrl.com.ar</t>
  </si>
  <si>
    <t>https://www.linkedin.com/in/julia-martinez-89</t>
  </si>
  <si>
    <t>Dr(a). Bautista Guzman</t>
  </si>
  <si>
    <t>Admin Infra</t>
  </si>
  <si>
    <t>dr(a)..bau@torressrl.com.ar</t>
  </si>
  <si>
    <t>+54 9 214 765-2315</t>
  </si>
  <si>
    <t>https://www.linkedin.com/in/dr(a).-bautista-guzman-52</t>
  </si>
  <si>
    <t>Lorenzo Medina Rodriguez</t>
  </si>
  <si>
    <t>Gte Gral</t>
  </si>
  <si>
    <t>lorenzo.me@torressrl.com.ar</t>
  </si>
  <si>
    <t>+54 9 284 489-6188</t>
  </si>
  <si>
    <t>https://www.linkedin.com/in/lorenzo-medina-rodriguez-90</t>
  </si>
  <si>
    <t>Dante Franco Vega Ramirez</t>
  </si>
  <si>
    <t>Gte Sistemas</t>
  </si>
  <si>
    <t>dante.fran@torressrl.com.ar</t>
  </si>
  <si>
    <t>+54 9 260 993-9864</t>
  </si>
  <si>
    <t>Lola Martin Lopez</t>
  </si>
  <si>
    <t>E052</t>
  </si>
  <si>
    <t>Diaz Corp</t>
  </si>
  <si>
    <t>Dr(a). Ludmila Ayala</t>
  </si>
  <si>
    <t>+54 9 29 732-2121</t>
  </si>
  <si>
    <t>https://www.linkedin.com/in/dr(a).-ludmila-ayala-40</t>
  </si>
  <si>
    <t>Lorenzo Gomez Benitez</t>
  </si>
  <si>
    <t>Lider de Comercialización</t>
  </si>
  <si>
    <t>Bruno Ruiz</t>
  </si>
  <si>
    <t>IT</t>
  </si>
  <si>
    <t>bruno.ruiz@diazcorp.com.ar</t>
  </si>
  <si>
    <t>+54 9 158 332-2480</t>
  </si>
  <si>
    <t>https://www.linkedin.com/in/bruno-ruiz-65</t>
  </si>
  <si>
    <t>+54 9 61 878-2646</t>
  </si>
  <si>
    <t>https://www.linkedin.com/in/bruno-ruiz-66</t>
  </si>
  <si>
    <t>E039</t>
  </si>
  <si>
    <t>Guzman Internacional</t>
  </si>
  <si>
    <t>Thiago Valentin Delfina Vargas Rodriguez</t>
  </si>
  <si>
    <t>Director de Sistemas</t>
  </si>
  <si>
    <t>thiago.val@guzmaninte.com.ar</t>
  </si>
  <si>
    <t>https://www.linkedin.com/in/thiago-valentin-delfina-vargas-rodriguez-31</t>
  </si>
  <si>
    <t>E091</t>
  </si>
  <si>
    <t>Godoy Corp</t>
  </si>
  <si>
    <t>Sr(a). Mia Morena Sosa</t>
  </si>
  <si>
    <t>sr(a)..mia@godoycorp.com.ar</t>
  </si>
  <si>
    <t>+54 9 25 147-6314</t>
  </si>
  <si>
    <t>https://www.linkedin.com/in/sr(a).-mia-morena-sosa-17</t>
  </si>
  <si>
    <t>Emma Felipe Diaz</t>
  </si>
  <si>
    <t>emma.felip@godoycorp.com.ar</t>
  </si>
  <si>
    <t>+54 9 161 467-7141</t>
  </si>
  <si>
    <t>https://www.linkedin.com/in/emma-felipe-diaz-65</t>
  </si>
  <si>
    <t>Sr(a). Alejo Ferreyra</t>
  </si>
  <si>
    <t>sr(a)..ale@godoycorp.com.ar</t>
  </si>
  <si>
    <t>+54 9 85 350-9702</t>
  </si>
  <si>
    <t>https://www.linkedin.com/in/sr(a).-alejo-ferreyra-62</t>
  </si>
  <si>
    <t>Oriana Lucía Medina</t>
  </si>
  <si>
    <t>Gerente de Finanzas</t>
  </si>
  <si>
    <t>oriana.luc@godoycorp.com.ar</t>
  </si>
  <si>
    <t>+54 9 103 274-3868</t>
  </si>
  <si>
    <t>https://www.linkedin.com/in/oriana-lucía-medina-20</t>
  </si>
  <si>
    <t>Dr(a). Thiago Ezequiel Cruz</t>
  </si>
  <si>
    <t>Jefe de Tecnologia</t>
  </si>
  <si>
    <t>dr(a)..thi@godoycorp.com.ar</t>
  </si>
  <si>
    <t>+54 9 206 734-4945</t>
  </si>
  <si>
    <t>https://www.linkedin.com/in/dr(a).-thiago-ezequiel-cruz-73</t>
  </si>
  <si>
    <t>E078</t>
  </si>
  <si>
    <t>Moreno S.A.S.</t>
  </si>
  <si>
    <t>Dr(a). Santino Ezequiel Morales</t>
  </si>
  <si>
    <t>dr(a)..san@morenosas.com.ar</t>
  </si>
  <si>
    <t>https://www.linkedin.com/in/dr(a).-santino-ezequiel-morales-39</t>
  </si>
  <si>
    <t>Simon Valentin Morales</t>
  </si>
  <si>
    <t>simon.vale@morenosas.com.ar</t>
  </si>
  <si>
    <t>+54 9 247 753-5161</t>
  </si>
  <si>
    <t>https://www.linkedin.com/in/simon-valentin-morales-68</t>
  </si>
  <si>
    <t>Salvador Lautaro Rodriguez Medina</t>
  </si>
  <si>
    <t>salvador.l@morenosas.com.ar</t>
  </si>
  <si>
    <t>+54 9 141 782-1153</t>
  </si>
  <si>
    <t>https://www.linkedin.com/in/salvador-lautaro-rodriguez-medina-69</t>
  </si>
  <si>
    <t>E079</t>
  </si>
  <si>
    <t>Ludmila Bautista Guzman Mendez</t>
  </si>
  <si>
    <t>ludmila.ba@gonzalezco.com.ar</t>
  </si>
  <si>
    <t>+54 9 290 261-2210</t>
  </si>
  <si>
    <t>https://www.linkedin.com/in/ludmila-bautista-guzman-mendez-66</t>
  </si>
  <si>
    <t>Dr(a). Malena Castro</t>
  </si>
  <si>
    <t>dr(a)..mal@gonzalezco.com.ar</t>
  </si>
  <si>
    <t>+54 9 187 701-5901</t>
  </si>
  <si>
    <t>https://www.linkedin.com/in/dr(a).-malena-castro-91</t>
  </si>
  <si>
    <t>Tomàs Correa Ferreyra</t>
  </si>
  <si>
    <t>tomàs.corr@gonzalezco.com.ar</t>
  </si>
  <si>
    <t>+54 9 228 806-5097</t>
  </si>
  <si>
    <t>https://www.linkedin.com/in/tomàs-correa-ferreyra-68</t>
  </si>
  <si>
    <t>Sofía Juan Bautista Campos Acosta</t>
  </si>
  <si>
    <t>IT Infrastructure Manager</t>
  </si>
  <si>
    <t>sofía.juan@gonzalezco.com.ar</t>
  </si>
  <si>
    <t>+54 9 165 303-7302</t>
  </si>
  <si>
    <t>https://www.linkedin.com/in/sofía-juan-bautista-campos-acosta-71</t>
  </si>
  <si>
    <t>E066</t>
  </si>
  <si>
    <t>Ramos Corp</t>
  </si>
  <si>
    <t>Lautaro Nahuel Catalina Moreno Gonzalez</t>
  </si>
  <si>
    <t>Especialista de Infraestructura IT</t>
  </si>
  <si>
    <t>lautaro.na@ramoscorp.com.ar</t>
  </si>
  <si>
    <t>+54 9 65 342-7248</t>
  </si>
  <si>
    <t>Dylan Ezequiel Pereyra</t>
  </si>
  <si>
    <t>dylan.ezeq@ramoscorp.com.ar</t>
  </si>
  <si>
    <t>https://www.linkedin.com/in/dylan-ezequiel-pereyra-83</t>
  </si>
  <si>
    <t>Sr(a). Guadalupe Avila</t>
  </si>
  <si>
    <t>Jefe de Aplicativos</t>
  </si>
  <si>
    <t>sr(a)..gua@ramoscorp.com.ar</t>
  </si>
  <si>
    <t>+54 9 194 688-5847</t>
  </si>
  <si>
    <t>https://www.linkedin.com/in/sr(a).-guadalupe-avila-99</t>
  </si>
  <si>
    <t>Renata Romero</t>
  </si>
  <si>
    <t>renata.rom@ramoscorp.com.ar</t>
  </si>
  <si>
    <t>https://www.linkedin.com/in/renata-romero-47</t>
  </si>
  <si>
    <t>Sr(a). Francesco Moreno</t>
  </si>
  <si>
    <t>Jefe de OP</t>
  </si>
  <si>
    <t>sr(a)..fra@ramoscorp.com.ar</t>
  </si>
  <si>
    <t>+54 9 22 949-7484</t>
  </si>
  <si>
    <t>https://www.linkedin.com/in/sr(a).-francesco-moreno-45</t>
  </si>
  <si>
    <t>Ignacio Castro Alvarez</t>
  </si>
  <si>
    <t>Jefe de Sistemas y Tecnologia</t>
  </si>
  <si>
    <t>ignacio.ca@ramoscorp.com.ar</t>
  </si>
  <si>
    <t>+54 9 15 679-1803</t>
  </si>
  <si>
    <t>https://www.linkedin.com/in/ignacio-castro-alvarez-87</t>
  </si>
  <si>
    <t>https://www.linkedin.com/in/dr(a).-luisana-garcia-73</t>
  </si>
  <si>
    <t>Jefe de Servicios Aplicativos</t>
  </si>
  <si>
    <t>+54 9 157 894-4770</t>
  </si>
  <si>
    <t>https://www.linkedin.com/in/dr(a).-salvador-ojeda-87</t>
  </si>
  <si>
    <t>+54 9 191 324-4115</t>
  </si>
  <si>
    <t>https://www.linkedin.com/in/ambar-miranda-89</t>
  </si>
  <si>
    <t>E067</t>
  </si>
  <si>
    <t>Lisandro Ambar Barrios Hernandez</t>
  </si>
  <si>
    <t>lisandro.a@martinezgr.com.ar</t>
  </si>
  <si>
    <t>https://www.linkedin.com/in/lisandro-ambar-barrios-hernandez-42</t>
  </si>
  <si>
    <t>Catalina Antonella Avila Sanchez</t>
  </si>
  <si>
    <t>Jefa de OP</t>
  </si>
  <si>
    <t>catalina.a@martinezgr.com.ar</t>
  </si>
  <si>
    <t>+54 9 81 743-2591</t>
  </si>
  <si>
    <t>Valentino Vega</t>
  </si>
  <si>
    <t>Encargado IT</t>
  </si>
  <si>
    <t>valentino.@martinezgr.com.ar</t>
  </si>
  <si>
    <t>+54 9 31 416-8222</t>
  </si>
  <si>
    <t>https://www.linkedin.com/in/valentino-vega-14</t>
  </si>
  <si>
    <t>tienen csco netapp, ibm</t>
  </si>
  <si>
    <t>esta hace 1 año</t>
  </si>
  <si>
    <t>Josefina Alvarez Arias</t>
  </si>
  <si>
    <t>Managment System Head</t>
  </si>
  <si>
    <t>josefina.a@bustossa.com.ar</t>
  </si>
  <si>
    <t>+54 9 197 849-3153</t>
  </si>
  <si>
    <t>https://www.linkedin.com/in/josefina-alvarez-arias-21</t>
  </si>
  <si>
    <t>+54 9 162 434-7807</t>
  </si>
  <si>
    <t>https://www.linkedin.com/in/candela-juan-sebastian-sanchez-rios-32</t>
  </si>
  <si>
    <t>Valentina  Milena Ponce</t>
  </si>
  <si>
    <t>valentina.@bustossa.com.ar</t>
  </si>
  <si>
    <t>+54 9 113 235-9837</t>
  </si>
  <si>
    <t>https://www.linkedin.com/in/valentina--milena-ponce-56</t>
  </si>
  <si>
    <t>Sr(a). Mia Valentina Flores</t>
  </si>
  <si>
    <t>Jefe del depto de Finanzas</t>
  </si>
  <si>
    <t>sr(a)..mia@bustossa.com.ar</t>
  </si>
  <si>
    <t>+54 9 282 613-5465</t>
  </si>
  <si>
    <t>https://www.linkedin.com/in/sr(a).-mia-valentina-flores-31</t>
  </si>
  <si>
    <t>E070</t>
  </si>
  <si>
    <t>Sosa Corp</t>
  </si>
  <si>
    <t>Josefina Oriana Romero Vazquez</t>
  </si>
  <si>
    <t xml:space="preserve">Lider de Infraestructura </t>
  </si>
  <si>
    <t>josefina.o@sosacorp.com.ar</t>
  </si>
  <si>
    <t>+54 9 257 925-5835</t>
  </si>
  <si>
    <t>https://www.linkedin.com/in/josefina-oriana-romero-vazquez-53</t>
  </si>
  <si>
    <t>Francisco Valentino Rodriguez</t>
  </si>
  <si>
    <t>francisco.@sosacorp.com.ar</t>
  </si>
  <si>
    <t>+54 9 69 579-2233</t>
  </si>
  <si>
    <t>https://www.linkedin.com/in/francisco-valentino-rodriguez-28</t>
  </si>
  <si>
    <t>Bianca Rojas Ponce</t>
  </si>
  <si>
    <t>bianca.roj@sosacorp.com.ar</t>
  </si>
  <si>
    <t>https://www.linkedin.com/in/bianca-rojas-ponce-38</t>
  </si>
  <si>
    <t>Sr(a). Antonella Hernandez</t>
  </si>
  <si>
    <t>Jefe de Redes e Informatica</t>
  </si>
  <si>
    <t>sr(a)..ant@sosacorp.com.ar</t>
  </si>
  <si>
    <t>+54 9 214 966-6992</t>
  </si>
  <si>
    <t>https://www.linkedin.com/in/sr(a).-antonella-hernandez-21</t>
  </si>
  <si>
    <t>Sr(a). Matias Fernandez</t>
  </si>
  <si>
    <t>sr(a)..mat@sosacorp.com.ar</t>
  </si>
  <si>
    <t>https://www.linkedin.com/in/sr(a).-matias-fernandez-60</t>
  </si>
  <si>
    <t>Sr(a). Joaquín Gonzalez</t>
  </si>
  <si>
    <t>Operations Manager</t>
  </si>
  <si>
    <t>sr(a)..joa@lopezsa.com.ar</t>
  </si>
  <si>
    <t>+54 9 146 649-3024</t>
  </si>
  <si>
    <t>https://www.linkedin.com/in/sr(a).-joaquín-gonzalez-68</t>
  </si>
  <si>
    <t>Amparo Emma Acosta Garcia</t>
  </si>
  <si>
    <t>amparo.emm@lopezsa.com.ar</t>
  </si>
  <si>
    <t>Francisco Martinez</t>
  </si>
  <si>
    <t>francisco.@lopezsa.com.ar</t>
  </si>
  <si>
    <t>+54 9 199 788-5295</t>
  </si>
  <si>
    <t>E131</t>
  </si>
  <si>
    <t>Lucero Group</t>
  </si>
  <si>
    <t>Florencia Diaz</t>
  </si>
  <si>
    <t>florencia.@lucerogrou.com.ar</t>
  </si>
  <si>
    <t>+54 9 206 942-7086</t>
  </si>
  <si>
    <t>https://www.linkedin.com/in/florencia-diaz-23</t>
  </si>
  <si>
    <t>E111</t>
  </si>
  <si>
    <t>Acosta Corp</t>
  </si>
  <si>
    <t>Dr(a). Malena Garcia</t>
  </si>
  <si>
    <t>Jefa de Sistemas</t>
  </si>
  <si>
    <t>dr(a)..mal@acostacorp.com.ar</t>
  </si>
  <si>
    <t>https://www.linkedin.com/in/dr(a).-malena-garcia-96</t>
  </si>
  <si>
    <t>E112</t>
  </si>
  <si>
    <t>Moyano Internacional</t>
  </si>
  <si>
    <t>Juan Bautista Flores</t>
  </si>
  <si>
    <t>Encargado de Servidores</t>
  </si>
  <si>
    <t>juan.bauti@moyanointe.com.ar</t>
  </si>
  <si>
    <t>https://www.linkedin.com/in/juan-bautista-flores-39</t>
  </si>
  <si>
    <t>E117</t>
  </si>
  <si>
    <t>Bustos S.A.S.</t>
  </si>
  <si>
    <t>Augusto Juan Fernandez</t>
  </si>
  <si>
    <t>Espeialista de asistencia de TI</t>
  </si>
  <si>
    <t>Isabella Jazmin Torres Maidana</t>
  </si>
  <si>
    <t>Jefe de Comunicaciones</t>
  </si>
  <si>
    <t>isabella.j@bustossas.com.ar</t>
  </si>
  <si>
    <t>Sr(a). Emilia Coronel</t>
  </si>
  <si>
    <t>Director de Tecnologia de la Información y Comunicaciones</t>
  </si>
  <si>
    <t>sr(a)..emi@bustossas.com.ar</t>
  </si>
  <si>
    <t>Tomàs Agustina Rivero Gomez</t>
  </si>
  <si>
    <t>Data Center Administrator</t>
  </si>
  <si>
    <t>tomàs.agus@bustossas.com.ar</t>
  </si>
  <si>
    <t>Augusto Antonio Soria</t>
  </si>
  <si>
    <t>Responsable de Data Center</t>
  </si>
  <si>
    <t>augusto.an@bustossas.com.ar</t>
  </si>
  <si>
    <t>E118</t>
  </si>
  <si>
    <t>Aguero S.R.L.</t>
  </si>
  <si>
    <t>Isabella Gimenez</t>
  </si>
  <si>
    <t>Auxiliar de Servidores</t>
  </si>
  <si>
    <t>isabella.g@aguerosrl.com.ar</t>
  </si>
  <si>
    <t>Francesca Catalina Martinez</t>
  </si>
  <si>
    <t>Responsable de TI</t>
  </si>
  <si>
    <t>francesca.@aguerosrl.com.ar</t>
  </si>
  <si>
    <t>E119</t>
  </si>
  <si>
    <t>Isabel Giuliana Ferreyra Arias</t>
  </si>
  <si>
    <t>Jefe Dpto. Tecnologia</t>
  </si>
  <si>
    <t>isabel.giu@garciacorp.com.ar</t>
  </si>
  <si>
    <t>Martina Bastian Herrera</t>
  </si>
  <si>
    <t>Responsable de Infraestructura de TI</t>
  </si>
  <si>
    <t>martina.ba@garciacorp.com.ar</t>
  </si>
  <si>
    <t>Alejo Valentin Cabrera</t>
  </si>
  <si>
    <t>Depto. de Tecnologia</t>
  </si>
  <si>
    <t>alejo.vale@garciacorp.com.ar</t>
  </si>
  <si>
    <t>Benjamin Diaz Fernandez</t>
  </si>
  <si>
    <t>Jefe de Gestion de TI</t>
  </si>
  <si>
    <t>Dr(a). Santino Garcia</t>
  </si>
  <si>
    <t>Coordinador Sistemas</t>
  </si>
  <si>
    <t>dr(a)..san@garciacorp.com.ar</t>
  </si>
  <si>
    <t>E120</t>
  </si>
  <si>
    <t>Juan Ignacio Emma Godoy Rios</t>
  </si>
  <si>
    <t>juan.ignac@godoygroup.com.ar</t>
  </si>
  <si>
    <t>Santino Barrios Luna</t>
  </si>
  <si>
    <t>Jefe de Sector Administración de Sistemas</t>
  </si>
  <si>
    <t>santino.ba@godoygroup.com.ar</t>
  </si>
  <si>
    <t>Agustín Silva Muñoz</t>
  </si>
  <si>
    <t>Jefe de Sector Recursos Tecnologicos</t>
  </si>
  <si>
    <t>agustín.si@godoygroup.com.ar</t>
  </si>
  <si>
    <t>Pedro Mora Martinez Ramirez</t>
  </si>
  <si>
    <t>Coordinador Operaciones IT</t>
  </si>
  <si>
    <t>pedro.mora@godoygroup.com.ar</t>
  </si>
  <si>
    <t>Bruno Sosa Moyano</t>
  </si>
  <si>
    <t>Analista de Operaciones IT</t>
  </si>
  <si>
    <t>bruno.sosa@godoygroup.com.ar</t>
  </si>
  <si>
    <t>E125</t>
  </si>
  <si>
    <t>Vargas Ltda.</t>
  </si>
  <si>
    <t>Sr(a). Francesca Herrera</t>
  </si>
  <si>
    <t>sr(a)..fra@vargasltda.com.ar</t>
  </si>
  <si>
    <t>Lautaro Gabriel Perez</t>
  </si>
  <si>
    <t>Administrador de Tecnologias CISO</t>
  </si>
  <si>
    <t>lautaro.ga@vargasltda.com.ar</t>
  </si>
  <si>
    <t>Benicio Rodriguez Martinez</t>
  </si>
  <si>
    <t>Supervisor de Tecnologia y Comunicaciones</t>
  </si>
  <si>
    <t>benicio.ro@vargasltda.com.ar</t>
  </si>
  <si>
    <t>Thiago Nahuel Ponce Romero</t>
  </si>
  <si>
    <t>Ingeniero de Infraestructura</t>
  </si>
  <si>
    <t>thiago.nah@vargasltda.com.ar</t>
  </si>
  <si>
    <t>Lautaro Romero Moreno</t>
  </si>
  <si>
    <t>lautaro.ro@vargasltda.com.ar</t>
  </si>
  <si>
    <t>Lautaro Gabriel Suarez</t>
  </si>
  <si>
    <t>Nina Isabella Ramos</t>
  </si>
  <si>
    <t>Responsable de Soporte IT</t>
  </si>
  <si>
    <t>nina.isabe@vargasltda.com.ar</t>
  </si>
  <si>
    <t>E126</t>
  </si>
  <si>
    <t>Pereyra Argentina</t>
  </si>
  <si>
    <t>Martina Diaz</t>
  </si>
  <si>
    <t>Encargado de Sistemas</t>
  </si>
  <si>
    <t>martina.di@pereyraarg.com.ar</t>
  </si>
  <si>
    <t>+54 9 252 125-6374</t>
  </si>
  <si>
    <t>Antonio Josefina Sanchez</t>
  </si>
  <si>
    <t>Infraestructura y Tecnologia</t>
  </si>
  <si>
    <t>antonio.jo@pereyraarg.com.ar</t>
  </si>
  <si>
    <t>Juan Sebastian Molina</t>
  </si>
  <si>
    <t>Encargado de Compras</t>
  </si>
  <si>
    <t>juan.sebas@pereyraarg.com.ar</t>
  </si>
  <si>
    <t>Martina Lara Garcia Guzman</t>
  </si>
  <si>
    <t>Departamento de Sistemas</t>
  </si>
  <si>
    <t>martina.la@pereyraarg.com.ar</t>
  </si>
  <si>
    <t>+54 9 124 763-2035</t>
  </si>
  <si>
    <t>Mateo Ezequiel Romero Gomez</t>
  </si>
  <si>
    <t>Lider de Proyecto - Infraestructura Tecnológica</t>
  </si>
  <si>
    <t>mateo.ezeq@pereyraarg.com.ar</t>
  </si>
  <si>
    <t>+54 9 248 817-5951</t>
  </si>
  <si>
    <t>E127</t>
  </si>
  <si>
    <t>Lorenzo Camila Benitez Campos</t>
  </si>
  <si>
    <t>IT Specialist &amp; Project Manager</t>
  </si>
  <si>
    <t>https://www.linkedin.com/in/lorenzo-camila-benitez-campos-93</t>
  </si>
  <si>
    <t>Martin Guillermina Aguirre Blanco</t>
  </si>
  <si>
    <t>Manager Infrastructure</t>
  </si>
  <si>
    <t>martin.gui@gonzalezsa.com.ar</t>
  </si>
  <si>
    <t>E128</t>
  </si>
  <si>
    <t>Romero S.R.L.</t>
  </si>
  <si>
    <t>Dr(a). Juan Ojeda</t>
  </si>
  <si>
    <t xml:space="preserve">Administrador de Redes  </t>
  </si>
  <si>
    <t>dr(a)..jua@romerosrl.com.ar</t>
  </si>
  <si>
    <t>Lorenzo Toledo Lopez</t>
  </si>
  <si>
    <t>Administrador de Networking</t>
  </si>
  <si>
    <t>lorenzo.to@romerosrl.com.ar</t>
  </si>
  <si>
    <t>Juan Cruz Bautista Dominguez Sanchez</t>
  </si>
  <si>
    <t>Resp. Depto. Infraestructura Tecnológica</t>
  </si>
  <si>
    <t>juan.cruz.@romerosrl.com.ar</t>
  </si>
  <si>
    <t>Dr(a). Mateo Acosta</t>
  </si>
  <si>
    <t>dr(a)..mat@romerosrl.com.ar</t>
  </si>
  <si>
    <t>E129</t>
  </si>
  <si>
    <t>Martina Aguero</t>
  </si>
  <si>
    <t>Lider de Arquitectura y Proyecto de redes y comunicaciones</t>
  </si>
  <si>
    <t>martina.ag@gonzalezlt.com.ar</t>
  </si>
  <si>
    <t>+54 9 220 219-3290</t>
  </si>
  <si>
    <t>Mora Lorenzo Godoy Arias</t>
  </si>
  <si>
    <t>CIO &amp; CDXO</t>
  </si>
  <si>
    <t>mora.loren@gonzalezlt.com.ar</t>
  </si>
  <si>
    <t>+54 9 34 138-5986</t>
  </si>
  <si>
    <t>https://www.linkedin.com/in/mora-lorenzo-godoy-arias-73</t>
  </si>
  <si>
    <t>Bautista Godoy Torres</t>
  </si>
  <si>
    <t>Jefe de Sistemas Tecnicos</t>
  </si>
  <si>
    <t>bautista.g@gonzalezlt.com.ar</t>
  </si>
  <si>
    <t>+54 9 70 199-4846</t>
  </si>
  <si>
    <t>https://www.linkedin.com/in/bautista-godoy-torres-78</t>
  </si>
  <si>
    <t>Benjamin Alejandro Felipe Cabrera</t>
  </si>
  <si>
    <t>Jefe de oficina de servicios TI</t>
  </si>
  <si>
    <t>benjamin.a@gonzalezlt.com.ar</t>
  </si>
  <si>
    <t>+54 9 80 497-8432</t>
  </si>
  <si>
    <t>https://www.linkedin.com/in/benjamin-alejandro-felipe-cabrera-57</t>
  </si>
  <si>
    <t>Martina Rodriguez</t>
  </si>
  <si>
    <t>Jefe de Arquitectura de Redes</t>
  </si>
  <si>
    <t>martina.ro@gonzalezlt.com.ar</t>
  </si>
  <si>
    <t>+54 9 287 529-3531</t>
  </si>
  <si>
    <t>https://www.linkedin.com/in/martina-rodriguez-63</t>
  </si>
  <si>
    <t>E130</t>
  </si>
  <si>
    <t>Soria Corp</t>
  </si>
  <si>
    <t>Guadalupe Santino Agustin Gonzalez Fernandez</t>
  </si>
  <si>
    <t>guadalupe.@soriacorp.com.ar</t>
  </si>
  <si>
    <t>Santino Agustin Torres</t>
  </si>
  <si>
    <t>santino.ag@soriacorp.com.ar</t>
  </si>
  <si>
    <t>E132</t>
  </si>
  <si>
    <t>Rivero S.A.</t>
  </si>
  <si>
    <t>Dante Pereyra Ruiz</t>
  </si>
  <si>
    <t>Valentina Santino Ponce Aguirre</t>
  </si>
  <si>
    <t>GERENTE DE OPERACIONES</t>
  </si>
  <si>
    <t>Ian Ezequiel Gomez</t>
  </si>
  <si>
    <t>ian.ezequi@riverosa.com.ar</t>
  </si>
  <si>
    <t>Federico Delfina Cabrera Ledesma</t>
  </si>
  <si>
    <t>federico.d@riverosa.com.ar</t>
  </si>
  <si>
    <t>+54 9 61 953-9017</t>
  </si>
  <si>
    <t>https://www.linkedin.com/in/federico-delfina-cabrera-ledesma-88</t>
  </si>
  <si>
    <t>E133</t>
  </si>
  <si>
    <t>Sofia Fernandez</t>
  </si>
  <si>
    <t>Responsable de Tecnologia y Sistemas</t>
  </si>
  <si>
    <t>sofia.fern@sanchezgro.com.ar</t>
  </si>
  <si>
    <t>+54 9 219 386-1536</t>
  </si>
  <si>
    <t>https://www.linkedin.com/in/sofia-fernandez-98</t>
  </si>
  <si>
    <t>Facundo Mendoza Acosta</t>
  </si>
  <si>
    <t>Responsable de Operaciones Digitales</t>
  </si>
  <si>
    <t>facundo.me@sanchezgro.com.ar</t>
  </si>
  <si>
    <t>https://www.linkedin.com/in/facundo-mendoza-acosta-57</t>
  </si>
  <si>
    <t>Alma Valentina Martin Velazquez</t>
  </si>
  <si>
    <t>Analista en Proteccion de Activos de Informacion</t>
  </si>
  <si>
    <t>alma.valen@sanchezgro.com.ar</t>
  </si>
  <si>
    <t>https://www.linkedin.com/in/alma-valentina-martin-velazquez-37</t>
  </si>
  <si>
    <t>Paloma Nicolas Garcia Garcia</t>
  </si>
  <si>
    <t>Gerente de Tecnologia</t>
  </si>
  <si>
    <t>paloma.nic@sanchezgro.com.ar</t>
  </si>
  <si>
    <t>+54 9 238 555-4868</t>
  </si>
  <si>
    <t>https://www.linkedin.com/in/paloma-nicolas-garcia-garcia-56</t>
  </si>
  <si>
    <t>Fernandez S.R.L.</t>
  </si>
  <si>
    <t>Geronimo Bianca Gomez</t>
  </si>
  <si>
    <t>Resposable de Produccion y Tecnologia</t>
  </si>
  <si>
    <t>+54 9 199 657-6876</t>
  </si>
  <si>
    <t>https://www.linkedin.com/in/geronimo-bianca-gomez-17</t>
  </si>
  <si>
    <t>E134</t>
  </si>
  <si>
    <t>Emma Morena Sosa</t>
  </si>
  <si>
    <t xml:space="preserve">Responsable de Tecnologia  </t>
  </si>
  <si>
    <t>emma.moren@diazintern.com.ar</t>
  </si>
  <si>
    <t>+54 9 152 294-3001</t>
  </si>
  <si>
    <t>https://www.linkedin.com/in/emma-morena-sosa-68</t>
  </si>
  <si>
    <t>Benjamin Ezequiel Molina</t>
  </si>
  <si>
    <t>Responsable de Produccion &amp; Tecnologia</t>
  </si>
  <si>
    <t>benjamin.e@silvasrl.com.ar</t>
  </si>
  <si>
    <t>+54 9 119 757-1349</t>
  </si>
  <si>
    <t>https://www.linkedin.com/in/benjamin-ezequiel-molina-16</t>
  </si>
  <si>
    <t>Cabrera Ltda.</t>
  </si>
  <si>
    <t>Bautista Ruiz Vera</t>
  </si>
  <si>
    <t>Cyber Security Analyst</t>
  </si>
  <si>
    <t>bautista.r@cabreraltd.com.ar</t>
  </si>
  <si>
    <t>https://www.linkedin.com/in/bautista-ruiz-vera-41</t>
  </si>
  <si>
    <t>Suarez S.A.S.</t>
  </si>
  <si>
    <t>Milo Paz</t>
  </si>
  <si>
    <t>milo.paz@suarezsas.com.ar</t>
  </si>
  <si>
    <t>https://www.linkedin.com/in/milo-paz-82</t>
  </si>
  <si>
    <t>Rodriguez Group</t>
  </si>
  <si>
    <t>Santino Benjamin Tomàs Peralta Romero</t>
  </si>
  <si>
    <t>santino.be@rodriguezg.com.ar</t>
  </si>
  <si>
    <t>+54 9 46 949-4394</t>
  </si>
  <si>
    <t>https://www.linkedin.com/in/santino-benjamin-tomàs-peralta-romero-85</t>
  </si>
  <si>
    <t>Martin S.A.</t>
  </si>
  <si>
    <t>Sr(a). Camilo Fernandez</t>
  </si>
  <si>
    <t>IT Infrastructure Solutions</t>
  </si>
  <si>
    <t>sr(a)..cam@martinsa.com.ar</t>
  </si>
  <si>
    <t>+54 9 121 932-4817</t>
  </si>
  <si>
    <t>https://www.linkedin.com/in/sr(a).-camilo-fernandez-52</t>
  </si>
  <si>
    <t>Sr(a). Ludmila Gutierrez</t>
  </si>
  <si>
    <t>Director de tecnologia IT</t>
  </si>
  <si>
    <t>sr(a)..lud@martinsa.com.ar</t>
  </si>
  <si>
    <t>+54 9 86 907-1046</t>
  </si>
  <si>
    <t>https://www.linkedin.com/in/sr(a).-ludmila-gutierrez-45</t>
  </si>
  <si>
    <t>Mateo Juan Cruz Vega Sosa</t>
  </si>
  <si>
    <t>mateo.juan@martinsa.com.ar</t>
  </si>
  <si>
    <t>+54 9 85 233-9850</t>
  </si>
  <si>
    <t>https://www.linkedin.com/in/mateo-juan-cruz-vega-sosa-42</t>
  </si>
  <si>
    <t>Dr(a). Juan Gabriel Martinez</t>
  </si>
  <si>
    <t>dr(a)..jua@martinsa.com.ar</t>
  </si>
  <si>
    <t>+54 9 100 212-1422</t>
  </si>
  <si>
    <t>https://www.linkedin.com/in/dr(a).-juan-gabriel-martinez-26</t>
  </si>
  <si>
    <t>Blanco S.A.</t>
  </si>
  <si>
    <t>Dr(a). Juan Ignacio Sanchez</t>
  </si>
  <si>
    <t>dr(a)..jua@blancosa.com.ar</t>
  </si>
  <si>
    <t>Sr(a). Juan Bautista Lopez</t>
  </si>
  <si>
    <t>sr(a)..jua@blancosa.com.ar</t>
  </si>
  <si>
    <t>+54 9 18 466-4898</t>
  </si>
  <si>
    <t>https://www.linkedin.com/in/sr(a).-juan-bautista-lopez-85</t>
  </si>
  <si>
    <t>Sr(a). Joaquin Morales</t>
  </si>
  <si>
    <t>sr(a)..joa@blancosa.com.ar</t>
  </si>
  <si>
    <t>+54 9 176 116-3854</t>
  </si>
  <si>
    <t>https://www.linkedin.com/in/sr(a).-joaquin-morales-43</t>
  </si>
  <si>
    <t>paulo contreras</t>
  </si>
  <si>
    <t>pcontreras@gsaor</t>
  </si>
  <si>
    <t>Dr(a). Valentina Jazmin Ortiz</t>
  </si>
  <si>
    <t>dr(a)..val@blancosa.com.ar</t>
  </si>
  <si>
    <t>+54 9 37 229-7897</t>
  </si>
  <si>
    <t>https://www.linkedin.com/in/dr(a).-valentina-jazmin-ortiz-77</t>
  </si>
  <si>
    <t>a</t>
  </si>
  <si>
    <t>Paz S.R.L.</t>
  </si>
  <si>
    <t>Catalina Duarte Vazquez</t>
  </si>
  <si>
    <t>catalina.d@pazsrl.com.ar</t>
  </si>
  <si>
    <t>+54 9 43 587-8344</t>
  </si>
  <si>
    <t>Perez Ltda.</t>
  </si>
  <si>
    <t>Camilo Ciro Godoy</t>
  </si>
  <si>
    <t>Comprador Tecnico Senior</t>
  </si>
  <si>
    <t>camilo.cir@perezltda.com.ar</t>
  </si>
  <si>
    <t>+54 9 273 707-2786</t>
  </si>
  <si>
    <t>https://www.linkedin.com/in/camilo-ciro-godoy-67</t>
  </si>
  <si>
    <t>Tomas Benjamin Molina</t>
  </si>
  <si>
    <t>+54 9 268 326-1710</t>
  </si>
  <si>
    <t>https://www.linkedin.com/in/tomas-benjamin-molina-94</t>
  </si>
  <si>
    <t>Jazmin Luciana Castillo Garcia</t>
  </si>
  <si>
    <t>+54 9 277 408-8504</t>
  </si>
  <si>
    <t>https://www.linkedin.com/in/jazmin-luciana-castillo-garcia-92</t>
  </si>
  <si>
    <t>Luciano Fernandez Ramirez</t>
  </si>
  <si>
    <t>luciano.fe@perezltda.com.ar</t>
  </si>
  <si>
    <t>+54 9 26 162-8847</t>
  </si>
  <si>
    <t>https://www.linkedin.com/in/luciano-fernandez-ramirez-61</t>
  </si>
  <si>
    <t>E135</t>
  </si>
  <si>
    <t>Medina Internacional</t>
  </si>
  <si>
    <t>Sofía Josefina Vera Ponce</t>
  </si>
  <si>
    <t>Depto. de Infraestructura</t>
  </si>
  <si>
    <t>sofía.jose@medinainte.com.ar</t>
  </si>
  <si>
    <t>Guzman S.R.L.</t>
  </si>
  <si>
    <t>Valentino Torres</t>
  </si>
  <si>
    <t>Director de Operaciones</t>
  </si>
  <si>
    <t>valentino.@guzmansrl.com.ar</t>
  </si>
  <si>
    <t>Emma Juan Ignacio Acosta Fernandez</t>
  </si>
  <si>
    <t>Director Regional de IT</t>
  </si>
  <si>
    <t>emma.juan.@castroarge.com.ar</t>
  </si>
  <si>
    <t>E136</t>
  </si>
  <si>
    <t>Rodriguez Argentina</t>
  </si>
  <si>
    <t>Santino Ezequiel Ramirez</t>
  </si>
  <si>
    <t>Infrastructure Manager</t>
  </si>
  <si>
    <t>santino.ez@rodrigueza.com.ar</t>
  </si>
  <si>
    <t>+54 9 48 182-6277</t>
  </si>
  <si>
    <t>E137</t>
  </si>
  <si>
    <t>Soto S.A.S.</t>
  </si>
  <si>
    <t>Zoe Valentina Lucas Benjamin Muñoz</t>
  </si>
  <si>
    <t>Desarrollador</t>
  </si>
  <si>
    <t>https://www.linkedin.com/in/zoe-valentina-lucas-benjamin-muñoz-18</t>
  </si>
  <si>
    <t>Lopez Group</t>
  </si>
  <si>
    <t>Paulina Guillermina Gutierrez</t>
  </si>
  <si>
    <t>paulina.gu@lopezgroup.com.ar</t>
  </si>
  <si>
    <t>+54 9 75 381-9984</t>
  </si>
  <si>
    <t>https://www.linkedin.com/in/paulina-guillermina-gutierrez-51</t>
  </si>
  <si>
    <t>Emiliano Aguirre</t>
  </si>
  <si>
    <t>emiliano.a@lopezgroup.com.ar</t>
  </si>
  <si>
    <t>+54 9 206 711-9692</t>
  </si>
  <si>
    <t>https://www.linkedin.com/in/emiliano-aguirre-47</t>
  </si>
  <si>
    <t>Rosario Gimenez Martin</t>
  </si>
  <si>
    <t>IT Infrastructure Leader</t>
  </si>
  <si>
    <t>rosario.gi@lopezgroup.com.ar</t>
  </si>
  <si>
    <t>+54 9 243 617-8048</t>
  </si>
  <si>
    <t>https://www.linkedin.com/in/rosario-gimenez-martin-22</t>
  </si>
  <si>
    <t>Maria Victoria Isabella Garcia</t>
  </si>
  <si>
    <t>maria.vict@lopezgroup.com.ar</t>
  </si>
  <si>
    <t>+54 9 69 973-4522</t>
  </si>
  <si>
    <t>https://www.linkedin.com/in/maria-victoria-isabella-garcia-65</t>
  </si>
  <si>
    <t>Dr(a). Emilia Gonzalez</t>
  </si>
  <si>
    <t>Jefe Comercial</t>
  </si>
  <si>
    <t>dr(a)..emi@suarezsas.com.ar</t>
  </si>
  <si>
    <t>+54 9 242 333-7779</t>
  </si>
  <si>
    <t>https://www.linkedin.com/in/dr(a).-emilia-gonzalez-53</t>
  </si>
  <si>
    <t>Lorenzo Cruz Ojeda</t>
  </si>
  <si>
    <t>Datacenter Admin</t>
  </si>
  <si>
    <t>lorenzo.cr@suarezsas.com.ar</t>
  </si>
  <si>
    <t>+54 9 243 508-7815</t>
  </si>
  <si>
    <t>https://www.linkedin.com/in/lorenzo-cruz-ojeda-22</t>
  </si>
  <si>
    <t>Guadalupe Ruiz</t>
  </si>
  <si>
    <t>Jefe de Finanzas</t>
  </si>
  <si>
    <t>guadalupe.@suarezsas.com.ar</t>
  </si>
  <si>
    <t>https://www.linkedin.com/in/guadalupe-ruiz-50</t>
  </si>
  <si>
    <t>Sr(a). Guadalupe Garcia</t>
  </si>
  <si>
    <t>Analista de Compras</t>
  </si>
  <si>
    <t>sr(a)..gua@diazintern.com.ar</t>
  </si>
  <si>
    <t>+54 9 229 420-5176</t>
  </si>
  <si>
    <t>https://www.linkedin.com/in/sr(a).-guadalupe-garcia-57</t>
  </si>
  <si>
    <t>Juan Bautista Coronel</t>
  </si>
  <si>
    <t>Compradora Senior</t>
  </si>
  <si>
    <t>juan.bauti@diazintern.com.ar</t>
  </si>
  <si>
    <t>+54 9 89 803-8770</t>
  </si>
  <si>
    <t>https://www.linkedin.com/in/juan-bautista-coronel-18</t>
  </si>
  <si>
    <t>Antonia Julian Cabrera Fernandez</t>
  </si>
  <si>
    <t>Supervisor de Compras</t>
  </si>
  <si>
    <t>antonia.ju@diazintern.com.ar</t>
  </si>
  <si>
    <t>+54 9 57 951-2398</t>
  </si>
  <si>
    <t>https://www.linkedin.com/in/antonia-julian-cabrera-fernandez-21</t>
  </si>
  <si>
    <t>Ruiz Argentina</t>
  </si>
  <si>
    <t>Camila Arias Romero</t>
  </si>
  <si>
    <t>camila.ari@ruizargent.com.ar</t>
  </si>
  <si>
    <t>+54 9 232 198-7105</t>
  </si>
  <si>
    <t>https://www.linkedin.com/in/camila-arias-romero-26</t>
  </si>
  <si>
    <t>Zoe Sofia Gimenez Gimenez</t>
  </si>
  <si>
    <t>Jefa de IT</t>
  </si>
  <si>
    <t>zoe.sofia.@ruizargent.com.ar</t>
  </si>
  <si>
    <t>+54 9 295 161-6400</t>
  </si>
  <si>
    <t>https://www.linkedin.com/in/zoe-sofia-gimenez-gimenez-95</t>
  </si>
  <si>
    <t>Martina Vera Cordoba</t>
  </si>
  <si>
    <t>Admin IT</t>
  </si>
  <si>
    <t>martina.ve@ruizargent.com.ar</t>
  </si>
  <si>
    <t>+54 9 73 520-6793</t>
  </si>
  <si>
    <t>https://www.linkedin.com/in/martina-vera-cordoba-95</t>
  </si>
  <si>
    <t>lautaro.ro@ruizargent.com.ar</t>
  </si>
  <si>
    <t>+54 9 227 988-1842</t>
  </si>
  <si>
    <t>https://www.linkedin.com/in/lautaro-romero-moreno-46</t>
  </si>
  <si>
    <t>Supervisor IT</t>
  </si>
  <si>
    <t>benicio.ro@ruizargent.com.ar</t>
  </si>
  <si>
    <t>+54 9 170 460-2697</t>
  </si>
  <si>
    <t>https://www.linkedin.com/in/benicio-rodriguez-martinez-83</t>
  </si>
  <si>
    <t>+54 9 270 317-3535</t>
  </si>
  <si>
    <t>https://www.linkedin.com/in/thiago-nahuel-ponce-romero-94</t>
  </si>
  <si>
    <t>Dr(a). Felipe Escobar</t>
  </si>
  <si>
    <t>Head of Infrastructure</t>
  </si>
  <si>
    <t>dr(a)..fel@rodrigueza.com.ar</t>
  </si>
  <si>
    <t>+54 9 257 329-2773</t>
  </si>
  <si>
    <t>soporte@opcsrl</t>
  </si>
  <si>
    <t>E138</t>
  </si>
  <si>
    <t>Dr(a). Mateo Olivera</t>
  </si>
  <si>
    <t>https://www.linkedin.com/in/dr(a).-mateo-olivera-81</t>
  </si>
  <si>
    <t>Villalba Ltda.</t>
  </si>
  <si>
    <t>Mia Bianca Gimenez Aguirre</t>
  </si>
  <si>
    <t>mia.bianca@villalbalt.com.ar</t>
  </si>
  <si>
    <t>https://www.linkedin.com/in/mia-bianca-gimenez-aguirre-24</t>
  </si>
  <si>
    <t>Ortiz Corp</t>
  </si>
  <si>
    <t>Augusto Torres</t>
  </si>
  <si>
    <t xml:space="preserve">Comprador Tecnico  </t>
  </si>
  <si>
    <t>augusto.to@ortizcorp.com.ar</t>
  </si>
  <si>
    <t>https://www.linkedin.com/in/augusto-torres-83</t>
  </si>
  <si>
    <t>Peralta Group</t>
  </si>
  <si>
    <t>Maria Victoria Figueroa</t>
  </si>
  <si>
    <t>Soporte y Operaciones</t>
  </si>
  <si>
    <t>maria.vict@peraltagro.com.ar</t>
  </si>
  <si>
    <t>Muñoz Internacional</t>
  </si>
  <si>
    <t>Matias Perez Ferreyra</t>
  </si>
  <si>
    <t>matias.per@muñozinter.com.ar</t>
  </si>
  <si>
    <t>+54 9 298 885-1430</t>
  </si>
  <si>
    <t>https://www.linkedin.com/in/matias-perez-ferreyra-87</t>
  </si>
  <si>
    <t>Sr(a). Joaquín Nuñez</t>
  </si>
  <si>
    <t>sr(a)..joa@muñozinter.com.ar</t>
  </si>
  <si>
    <t>+54 9 147 129-3955</t>
  </si>
  <si>
    <t>https://www.linkedin.com/in/sr(a).-joaquín-nuñez-44</t>
  </si>
  <si>
    <t>Bruno Joaquín Ramos</t>
  </si>
  <si>
    <t>bruno.joaq@muñozinter.com.ar</t>
  </si>
  <si>
    <t>+54 9 169 447-6751</t>
  </si>
  <si>
    <t>https://www.linkedin.com/in/bruno-joaquín-ramos-10</t>
  </si>
  <si>
    <t>Velazquez Internacional</t>
  </si>
  <si>
    <t>Felipe Peralta</t>
  </si>
  <si>
    <t>Director IT e Infraestructura</t>
  </si>
  <si>
    <t>felipe.per@velazquezi.com.ar</t>
  </si>
  <si>
    <t>+54 9 103 990-3347</t>
  </si>
  <si>
    <t>https://www.linkedin.com/in/felipe-peralta-82</t>
  </si>
  <si>
    <t>Franco Quiroga Lopez</t>
  </si>
  <si>
    <t>Director de Admin y Finanzas</t>
  </si>
  <si>
    <t>franco.qui@velazquezi.com.ar</t>
  </si>
  <si>
    <t>+54 9 216 171-3324</t>
  </si>
  <si>
    <t>https://www.linkedin.com/in/franco-quiroga-lopez-91</t>
  </si>
  <si>
    <t>Josefina Fernandez</t>
  </si>
  <si>
    <t>Encargada de Compras</t>
  </si>
  <si>
    <t>josefina.f@velazquezi.com.ar</t>
  </si>
  <si>
    <t>+54 9 26 193-9691</t>
  </si>
  <si>
    <t>https://www.linkedin.com/in/josefina-fernandez-37</t>
  </si>
  <si>
    <t>Perez S.A.</t>
  </si>
  <si>
    <t>Renata Octavio Ayala</t>
  </si>
  <si>
    <t>Gerente General</t>
  </si>
  <si>
    <t>renata.oct@perezsa.com.ar</t>
  </si>
  <si>
    <t>+54 9 203 529-8432</t>
  </si>
  <si>
    <t>https://www.linkedin.com/in/renata-octavio-ayala-53</t>
  </si>
  <si>
    <t>Lucia Gutierrez Castro</t>
  </si>
  <si>
    <t>lucia.guti@perezsa.com.ar</t>
  </si>
  <si>
    <t>+54 9 91 478-6105</t>
  </si>
  <si>
    <t>https://www.linkedin.com/in/lucia-gutierrez-castro-51</t>
  </si>
  <si>
    <t>Bruno Sanchez</t>
  </si>
  <si>
    <t>Jefe de Infraestructura IT</t>
  </si>
  <si>
    <t>bruno.sanc@perezsa.com.ar</t>
  </si>
  <si>
    <t>+54 9 54 153-3549</t>
  </si>
  <si>
    <t>https://www.linkedin.com/in/bruno-sanchez-30</t>
  </si>
  <si>
    <t>E140</t>
  </si>
  <si>
    <t>Dr(a). Manuel Peralta</t>
  </si>
  <si>
    <t>System Administrator</t>
  </si>
  <si>
    <t>https://www.linkedin.com/in/dr(a).-manuel-peralta-96</t>
  </si>
  <si>
    <t>Tomas Santiago Martinez Castro</t>
  </si>
  <si>
    <t>Gerente de Compras y Contrataciones</t>
  </si>
  <si>
    <t>tomas.sant@aguerosrl.com.ar</t>
  </si>
  <si>
    <t>https://www.linkedin.com/in/tomas-santiago-martinez-castro-44</t>
  </si>
  <si>
    <t>Martinez Argentina</t>
  </si>
  <si>
    <t>Milo Federico Ledesma Aguirre</t>
  </si>
  <si>
    <t>Gerente de Proyectos y procesos</t>
  </si>
  <si>
    <t>https://www.linkedin.com/in/milo-federico-ledesma-aguirre-94</t>
  </si>
  <si>
    <t>Suarez Internacional</t>
  </si>
  <si>
    <t>Dr(a). Emilia Silva</t>
  </si>
  <si>
    <t>Especialista en Soporte Tecnico</t>
  </si>
  <si>
    <t>https://www.linkedin.com/in/dr(a).-emilia-silva-72</t>
  </si>
  <si>
    <t>Molina Argentina</t>
  </si>
  <si>
    <t>Sara Moyano</t>
  </si>
  <si>
    <t>Responsable de Sistemas</t>
  </si>
  <si>
    <t>+54 9 223 379-4531</t>
  </si>
  <si>
    <t>https://www.linkedin.com/in/sara-moyano-75</t>
  </si>
  <si>
    <t>E141</t>
  </si>
  <si>
    <t>Cordoba S.R.L.</t>
  </si>
  <si>
    <t>Martina Ivan Rodriguez Blanco</t>
  </si>
  <si>
    <t>Soporte Informatico</t>
  </si>
  <si>
    <t>martina.iv@cordobasrl.com.ar</t>
  </si>
  <si>
    <t>https://www.linkedin.com/in/martina-ivan-rodriguez-blanco-54</t>
  </si>
  <si>
    <t>Ferreyra Internacional</t>
  </si>
  <si>
    <t>Delfina Rivero</t>
  </si>
  <si>
    <t>Servicio tecnico de Sistemas</t>
  </si>
  <si>
    <t>delfina.ri@ferreyrain.com.ar</t>
  </si>
  <si>
    <t>https://www.linkedin.com/in/delfina-rivero-24</t>
  </si>
  <si>
    <t>Dr(a). Valentino Cabrera</t>
  </si>
  <si>
    <t>Jefa de Sistemas y Aplicaciones</t>
  </si>
  <si>
    <t>dr(a)..val@perezcorp.com.ar</t>
  </si>
  <si>
    <t>https://www.linkedin.com/in/dr(a).-valentino-cabrera-96</t>
  </si>
  <si>
    <t>Nuñez Argentina</t>
  </si>
  <si>
    <t>Isabella Florencia Martinez</t>
  </si>
  <si>
    <t>isabella.f@nuñezargen.com.ar</t>
  </si>
  <si>
    <t>+54 9 280 783-6053</t>
  </si>
  <si>
    <t>https://www.linkedin.com/in/isabella-florencia-martinez-15</t>
  </si>
  <si>
    <t>Renata Vera Gomez</t>
  </si>
  <si>
    <t>Tecnico de Redes</t>
  </si>
  <si>
    <t>renata.ver@martinezgr.com.ar</t>
  </si>
  <si>
    <t>https://www.linkedin.com/in/renata-vera-gomez-60</t>
  </si>
  <si>
    <t>Vazquez S.A.</t>
  </si>
  <si>
    <t>Ciro Benjamin Bravo Fernandez</t>
  </si>
  <si>
    <t>Jefe de Soporte Tecnico</t>
  </si>
  <si>
    <t>ciro.benja@vazquezsa.com.ar</t>
  </si>
  <si>
    <t>+54 9 14 309-5938</t>
  </si>
  <si>
    <t>https://www.linkedin.com/in/ciro-benjamin-bravo-fernandez-37</t>
  </si>
  <si>
    <t>Ferreyra S.A.S.</t>
  </si>
  <si>
    <t>Jazmin Diaz</t>
  </si>
  <si>
    <t>jazmin.dia@ferreyrasa.com.ar</t>
  </si>
  <si>
    <t>+54 9 141 396-6375</t>
  </si>
  <si>
    <t>https://www.linkedin.com/in/jazmin-diaz-25</t>
  </si>
  <si>
    <t>Vargas S.A.S.</t>
  </si>
  <si>
    <t>Juan Cruz Mia Valentina Bustos Gomez</t>
  </si>
  <si>
    <t>Jefe de Contabilidad</t>
  </si>
  <si>
    <t>juan.cruz.@vargassas.com.ar</t>
  </si>
  <si>
    <t>+54 9 14 609-8055</t>
  </si>
  <si>
    <t>https://www.linkedin.com/in/juan-cruz-mia-valentina-bustos-gomez-32</t>
  </si>
  <si>
    <t>derazu@grupodisal.com.ar</t>
  </si>
  <si>
    <t>Sr(a). Mateo Benjamin Muñoz</t>
  </si>
  <si>
    <t>+54 9 77 489-9725</t>
  </si>
  <si>
    <t>https://www.linkedin.com/in/sr(a).-mateo-benjamin-muñoz-39</t>
  </si>
  <si>
    <t>Ian Ezequiel Lopez Cruz</t>
  </si>
  <si>
    <t>System Manager</t>
  </si>
  <si>
    <t>+54 9 267 672-6802</t>
  </si>
  <si>
    <t>https://www.linkedin.com/in/ian-ezequiel-lopez-cruz-19</t>
  </si>
  <si>
    <t>E142</t>
  </si>
  <si>
    <t>Lopez Internacional</t>
  </si>
  <si>
    <t>Máximo Ruiz Aguirre</t>
  </si>
  <si>
    <t>Network Engineer</t>
  </si>
  <si>
    <t>máximo.rui@lopezinter.com.ar</t>
  </si>
  <si>
    <t>https://www.linkedin.com/in/máximo-ruiz-aguirre-15</t>
  </si>
  <si>
    <t>Maidana Internacional</t>
  </si>
  <si>
    <t>Enzo Benjamin Ortiz Gomez</t>
  </si>
  <si>
    <t>Administracion de Sistemas</t>
  </si>
  <si>
    <t>+54 9 20 570-2275</t>
  </si>
  <si>
    <t>https://www.linkedin.com/in/enzo-benjamin-ortiz-gomez-50</t>
  </si>
  <si>
    <t>Facundo Santino Benjamin Pereyra Paez</t>
  </si>
  <si>
    <t>Administrador de Sistemas de TI</t>
  </si>
  <si>
    <t>facundo.sa@velazquezi.com.ar</t>
  </si>
  <si>
    <t>https://www.linkedin.com/in/facundo-santino-benjamin-pereyra-paez-83</t>
  </si>
  <si>
    <t>Fernandez Internacional</t>
  </si>
  <si>
    <t>Dr(a). Victoria Correa</t>
  </si>
  <si>
    <t>Administracion y soporte de TI</t>
  </si>
  <si>
    <t>https://www.linkedin.com/in/dr(a).-victoria-correa-91</t>
  </si>
  <si>
    <t>Mateo Malena Perez Lopez</t>
  </si>
  <si>
    <t>mateo.male@medinainte.com.ar</t>
  </si>
  <si>
    <t>+54 9 224 396-2887</t>
  </si>
  <si>
    <t>https://www.linkedin.com/in/mateo-malena-perez-lopez-61</t>
  </si>
  <si>
    <t>Sol Tiziano Navarro Lopez</t>
  </si>
  <si>
    <t>sol.tizian@medinainte.com.ar</t>
  </si>
  <si>
    <t>+54 9 21 432-3815</t>
  </si>
  <si>
    <t>https://www.linkedin.com/in/sol-tiziano-navarro-lopez-89</t>
  </si>
  <si>
    <t>Flores S.A.</t>
  </si>
  <si>
    <t>Ezequiel Gutierrez</t>
  </si>
  <si>
    <t>ezequiel.g@floressa.com.ar</t>
  </si>
  <si>
    <t>+54 9 246 951-6928</t>
  </si>
  <si>
    <t>https://www.linkedin.com/in/ezequiel-gutierrez-21</t>
  </si>
  <si>
    <t>soporte@montironi.com</t>
  </si>
  <si>
    <t>daniel alavarez</t>
  </si>
  <si>
    <t>Camila Gomez Chavez</t>
  </si>
  <si>
    <t>camila.gom@floressa.com.ar</t>
  </si>
  <si>
    <t>+54 9 234 964-2734</t>
  </si>
  <si>
    <t>https://www.linkedin.com/in/camila-gomez-chavez-41</t>
  </si>
  <si>
    <t>dalvarez@montironi.com</t>
  </si>
  <si>
    <t>Juan Cruz Martinez</t>
  </si>
  <si>
    <t>juan.cruz.@floressa.com.ar</t>
  </si>
  <si>
    <t>+54 9 234 703-7560</t>
  </si>
  <si>
    <t>https://www.linkedin.com/in/juan-cruz-martinez-77</t>
  </si>
  <si>
    <t>Olivia Tomàs Perez Romero</t>
  </si>
  <si>
    <t>olivia.tom@floressa.com.ar</t>
  </si>
  <si>
    <t>+54 9 51 505-6083</t>
  </si>
  <si>
    <t>https://www.linkedin.com/in/olivia-tomàs-perez-romero-53</t>
  </si>
  <si>
    <t>E143</t>
  </si>
  <si>
    <t>Sr(a). Thiago Benjamin Sosa</t>
  </si>
  <si>
    <t>sr(a)..thi@nuñezgroup.com.ar</t>
  </si>
  <si>
    <t>+54 9 181 897-3754</t>
  </si>
  <si>
    <t>https://www.linkedin.com/in/sr(a).-thiago-benjamin-sosa-19</t>
  </si>
  <si>
    <t>Martinez S.R.L.</t>
  </si>
  <si>
    <t>Valentin Fernandez Castillo</t>
  </si>
  <si>
    <t>Consultor de Sistemas de TI</t>
  </si>
  <si>
    <t>https://www.linkedin.com/in/valentin-fernandez-castillo-77</t>
  </si>
  <si>
    <t>E144</t>
  </si>
  <si>
    <t>Blanco Group</t>
  </si>
  <si>
    <t>Helena Luca Acuña Torres</t>
  </si>
  <si>
    <t>helena.luc@blancogrou.com.ar</t>
  </si>
  <si>
    <t>https://www.linkedin.com/in/helena-luca-acuña-torres-54</t>
  </si>
  <si>
    <t>E145</t>
  </si>
  <si>
    <t>Diaz Ltda.</t>
  </si>
  <si>
    <t>Jazmin Facundo Olivera</t>
  </si>
  <si>
    <t>A cargo</t>
  </si>
  <si>
    <t>https://www.linkedin.com/in/jazmin-facundo-olivera-92</t>
  </si>
  <si>
    <t>Torres S.A.S.</t>
  </si>
  <si>
    <t>Dr(a). Matilda Figueroa</t>
  </si>
  <si>
    <t>dr(a)..mat@torressas.com.ar</t>
  </si>
  <si>
    <t>+54 9 131 205-3399</t>
  </si>
  <si>
    <t>https://www.linkedin.com/in/dr(a).-matilda-figueroa-42</t>
  </si>
  <si>
    <t>E146</t>
  </si>
  <si>
    <t>Paz Group</t>
  </si>
  <si>
    <t>Thiago Ezequiel Mia Caceres</t>
  </si>
  <si>
    <t>thiago.eze@pazgroup.com.ar</t>
  </si>
  <si>
    <t>Campos Internacional</t>
  </si>
  <si>
    <t>Dr(a). Bruno Sosa</t>
  </si>
  <si>
    <t>Admin de Infraestructura</t>
  </si>
  <si>
    <t>dr(a)..bru@camposinte.com.ar</t>
  </si>
  <si>
    <t>https://www.linkedin.com/in/dr(a).-bruno-sosa-32</t>
  </si>
  <si>
    <t>Sr(a). Isabella Molina</t>
  </si>
  <si>
    <t>Gerente de Administración</t>
  </si>
  <si>
    <t>sr(a)..isa@camposinte.com.ar</t>
  </si>
  <si>
    <t>+54 9 89 878-2234</t>
  </si>
  <si>
    <t>https://www.linkedin.com/in/sr(a).-isabella-molina-32</t>
  </si>
  <si>
    <t>Sr(a). Franco Fernandez</t>
  </si>
  <si>
    <t>sr(a)..fra@camposinte.com.ar</t>
  </si>
  <si>
    <t>+54 9 263 575-8354</t>
  </si>
  <si>
    <t>https://www.linkedin.com/in/sr(a).-franco-fernandez-97</t>
  </si>
  <si>
    <t>Ian Simon Peralta Vera</t>
  </si>
  <si>
    <t>Coordinador IT</t>
  </si>
  <si>
    <t>ian.simon.@camposinte.com.ar</t>
  </si>
  <si>
    <t>+54 9 176 984-6179</t>
  </si>
  <si>
    <t>https://www.linkedin.com/in/ian-simon-peralta-vera-29</t>
  </si>
  <si>
    <t>Toledo Corp</t>
  </si>
  <si>
    <t>Catalina Gutierrez</t>
  </si>
  <si>
    <t>catalina.g@toledocorp.com.ar</t>
  </si>
  <si>
    <t>https://www.linkedin.com/in/catalina-gutierrez-66</t>
  </si>
  <si>
    <t>Facundo Gutierrez Medina</t>
  </si>
  <si>
    <t>Vicepresidente</t>
  </si>
  <si>
    <t>facundo.gu@toledocorp.com.ar</t>
  </si>
  <si>
    <t>+54 9 45 580-8245</t>
  </si>
  <si>
    <t>https://www.linkedin.com/in/facundo-gutierrez-medina-90</t>
  </si>
  <si>
    <t>Lautaro Benjamin Carrizo Sanchez</t>
  </si>
  <si>
    <t>lautaro.be@castroarge.com.ar</t>
  </si>
  <si>
    <t>+54 9 166 915-5500</t>
  </si>
  <si>
    <t>https://www.linkedin.com/in/lautaro-benjamin-carrizo-sanchez-85</t>
  </si>
  <si>
    <t>montich</t>
  </si>
  <si>
    <t>Camila Maldonado Villalba</t>
  </si>
  <si>
    <t>camila.mal@castroarge.com.ar</t>
  </si>
  <si>
    <t>Sr(a). Martina Romero</t>
  </si>
  <si>
    <t>sr(a)..mar@castroarge.com.ar</t>
  </si>
  <si>
    <t>+54 9 39 460-9312</t>
  </si>
  <si>
    <t>Vera Corp</t>
  </si>
  <si>
    <t>Juan Pablo Rodriguez Escobar</t>
  </si>
  <si>
    <t>juan.pablo@veracorp.com.ar</t>
  </si>
  <si>
    <t>+54 9 48 417-8565</t>
  </si>
  <si>
    <t>https://www.linkedin.com/in/juan-pablo-rodriguez-escobar-67</t>
  </si>
  <si>
    <t>Martina Ramirez</t>
  </si>
  <si>
    <t>Chief Operating Officer</t>
  </si>
  <si>
    <t>martina.ra@veracorp.com.ar</t>
  </si>
  <si>
    <t>+54 9 30 158-7041</t>
  </si>
  <si>
    <t>https://www.linkedin.com/in/martina-ramirez-46</t>
  </si>
  <si>
    <t>Bautista Benjamin Ema Moreno</t>
  </si>
  <si>
    <t>bautista.b@veracorp.com.ar</t>
  </si>
  <si>
    <t>+54 9 50 760-2479</t>
  </si>
  <si>
    <t>https://www.linkedin.com/in/bautista-benjamin-ema-moreno-88</t>
  </si>
  <si>
    <t>Thiago Paez</t>
  </si>
  <si>
    <t>thiago.pae@fernandezi.com.ar</t>
  </si>
  <si>
    <t>+54 9 270 493-8581</t>
  </si>
  <si>
    <t>https://www.linkedin.com/in/thiago-paez-84</t>
  </si>
  <si>
    <t>Tiziana Barrios</t>
  </si>
  <si>
    <t>tiziana.ba@fernandezi.com.ar</t>
  </si>
  <si>
    <t>+54 9 294 910-1672</t>
  </si>
  <si>
    <t>https://www.linkedin.com/in/tiziana-barrios-67</t>
  </si>
  <si>
    <t>Bautista Soto</t>
  </si>
  <si>
    <t xml:space="preserve">Director </t>
  </si>
  <si>
    <t>bautista.s@fernandezi.com.ar</t>
  </si>
  <si>
    <t>+54 9 107 429-8792</t>
  </si>
  <si>
    <t>https://www.linkedin.com/in/bautista-soto-74</t>
  </si>
  <si>
    <t>Sr(a). Jeremias Sosa</t>
  </si>
  <si>
    <t>sr(a)..jer@fernandezi.com.ar</t>
  </si>
  <si>
    <t>+54 9 88 163-8381</t>
  </si>
  <si>
    <t>https://www.linkedin.com/in/sr(a).-jeremias-sosa-23</t>
  </si>
  <si>
    <t>E148</t>
  </si>
  <si>
    <t>Lopez Ltda.</t>
  </si>
  <si>
    <t>Dr(a). Julia Ojeda</t>
  </si>
  <si>
    <t>Diaz S.R.L.</t>
  </si>
  <si>
    <t>Matilda Chavez Medina</t>
  </si>
  <si>
    <t>matilda.ch@diazsrl.com.ar</t>
  </si>
  <si>
    <t>https://www.linkedin.com/in/matilda-chavez-medina-74</t>
  </si>
  <si>
    <t>E149</t>
  </si>
  <si>
    <t>Muñoz S.A.S.</t>
  </si>
  <si>
    <t>Julia Paz</t>
  </si>
  <si>
    <t>Resposable de Seguridad de la Informacion</t>
  </si>
  <si>
    <t>https://www.linkedin.com/in/julia-paz-15</t>
  </si>
  <si>
    <t>Felipe Santiago Hernandez Vazquez</t>
  </si>
  <si>
    <t xml:space="preserve">Gerente de Tecnologia </t>
  </si>
  <si>
    <t>+54 9 235 549-9586</t>
  </si>
  <si>
    <t>https://www.linkedin.com/in/felipe-santiago-hernandez-vazquez-76</t>
  </si>
  <si>
    <t>E150</t>
  </si>
  <si>
    <t>Mora Maidana</t>
  </si>
  <si>
    <t>mora.maida@gonzalezsa.com.ar</t>
  </si>
  <si>
    <t>https://www.linkedin.com/in/mora-maidana-56</t>
  </si>
  <si>
    <t>Paez Ltda.</t>
  </si>
  <si>
    <t>Sofia Santino Gonzalez</t>
  </si>
  <si>
    <t>Coordinador de Procesos y proyectos</t>
  </si>
  <si>
    <t>sofia.sant@paezltda.com.ar</t>
  </si>
  <si>
    <t>+54 9 155 496-7697</t>
  </si>
  <si>
    <t>https://www.linkedin.com/in/sofia-santino-gonzalez-53</t>
  </si>
  <si>
    <t>Luna S.A.</t>
  </si>
  <si>
    <t>Emma Gonzalez Benitez</t>
  </si>
  <si>
    <t>Administrador de Sistemas</t>
  </si>
  <si>
    <t>emma.gonza@lunasa.com.ar</t>
  </si>
  <si>
    <t>https://www.linkedin.com/in/emma-gonzalez-benitez-90</t>
  </si>
  <si>
    <t>Valentino Toledo Martinez</t>
  </si>
  <si>
    <t>Coordinadora de Proyectos IT</t>
  </si>
  <si>
    <t>valentino.@rojasltda.com.ar</t>
  </si>
  <si>
    <t>https://www.linkedin.com/in/valentino-toledo-martinez-18</t>
  </si>
  <si>
    <t>Avila Ltda.</t>
  </si>
  <si>
    <t>Dr(a). Dante Ramos</t>
  </si>
  <si>
    <t>dr(a)..dan@avilaltda.com.ar</t>
  </si>
  <si>
    <t>https://www.linkedin.com/in/dr(a).-dante-ramos-22</t>
  </si>
  <si>
    <t>Emma Thiago Lionel Velazquez Pereyra</t>
  </si>
  <si>
    <t>emma.thiag@garciaarge.com.ar</t>
  </si>
  <si>
    <t>+54 9 296 794-7333</t>
  </si>
  <si>
    <t>https://www.linkedin.com/in/emma-thiago-lionel-velazquez-pereyra-46</t>
  </si>
  <si>
    <t>Julieta Rodriguez</t>
  </si>
  <si>
    <t>julieta.ro@garciaarge.com.ar</t>
  </si>
  <si>
    <t>+54 9 140 841-3463</t>
  </si>
  <si>
    <t>https://www.linkedin.com/in/julieta-rodriguez-52</t>
  </si>
  <si>
    <t>E151</t>
  </si>
  <si>
    <t>Duarte S.R.L.</t>
  </si>
  <si>
    <t>Lucía Pedro Aguirre</t>
  </si>
  <si>
    <t>lucía.pedr@duartesrl.com.ar</t>
  </si>
  <si>
    <t>+54 9 83 458-6082</t>
  </si>
  <si>
    <t>https://www.linkedin.com/in/lucía-pedro-aguirre-93</t>
  </si>
  <si>
    <t>Valdez Internacional</t>
  </si>
  <si>
    <t>Martín Sanchez</t>
  </si>
  <si>
    <t>Analista en Infraestructura Tecnologica</t>
  </si>
  <si>
    <t>martín.san@valdezinte.com.ar</t>
  </si>
  <si>
    <t>+54 9 77 709-2388</t>
  </si>
  <si>
    <t>https://www.linkedin.com/in/martín-sanchez-49</t>
  </si>
  <si>
    <t>Ramirez Internacional</t>
  </si>
  <si>
    <t>Julieta Joaquin Rojas</t>
  </si>
  <si>
    <t>+54 9 179 932-3093</t>
  </si>
  <si>
    <t>https://www.linkedin.com/in/julieta-joaquin-rojas-95</t>
  </si>
  <si>
    <t>E152</t>
  </si>
  <si>
    <t>Julieta Lucia Cordoba</t>
  </si>
  <si>
    <t>julieta.lu@martinezsr.com.ar</t>
  </si>
  <si>
    <t>+54 9 227 620-6928</t>
  </si>
  <si>
    <t>https://www.linkedin.com/in/julieta-lucia-cordoba-12</t>
  </si>
  <si>
    <t>Dr(a). León Castro</t>
  </si>
  <si>
    <t>dr(a)..leó@avilaltda.com.ar</t>
  </si>
  <si>
    <t>+54 9 169 284-4509</t>
  </si>
  <si>
    <t>https://www.linkedin.com/in/dr(a).-león-castro-53</t>
  </si>
  <si>
    <t>Silva Group</t>
  </si>
  <si>
    <t>Francesca Valentina Romero</t>
  </si>
  <si>
    <t>Gerente de OPeraciones</t>
  </si>
  <si>
    <t>francesca.@silvagroup.com.ar</t>
  </si>
  <si>
    <t>+54 9 259 296-4711</t>
  </si>
  <si>
    <t>https://www.linkedin.com/in/francesca-valentina-romero-27</t>
  </si>
  <si>
    <t>Thiago Gabriel Farias Gomez</t>
  </si>
  <si>
    <t>thiago.gab@silvagroup.com.ar</t>
  </si>
  <si>
    <t>https://www.linkedin.com/in/thiago-gabriel-farias-gomez-29</t>
  </si>
  <si>
    <t>Isabella Thiago Juarez</t>
  </si>
  <si>
    <t>isabella.t@silvagroup.com.ar</t>
  </si>
  <si>
    <t>+54 9 50 402-2657</t>
  </si>
  <si>
    <t>https://www.linkedin.com/in/isabella-thiago-juarez-74</t>
  </si>
  <si>
    <t>Molina Corp</t>
  </si>
  <si>
    <t>Francisca Lopez Coronel</t>
  </si>
  <si>
    <t>Compras</t>
  </si>
  <si>
    <t>+54 9 287 955-9626</t>
  </si>
  <si>
    <t>https://www.linkedin.com/in/francisca-lopez-coronel-14</t>
  </si>
  <si>
    <t>Sr(a). Jazmin Aguero</t>
  </si>
  <si>
    <t>+54 9 183 997-3147</t>
  </si>
  <si>
    <t>https://www.linkedin.com/in/sr(a).-jazmin-aguero-86</t>
  </si>
  <si>
    <t>Julieta Nahuel Diaz Lopez</t>
  </si>
  <si>
    <t>Gte de Tadicor (empresa del grupo dinosaurio)</t>
  </si>
  <si>
    <t>julieta.na@molinacorp.com.ar</t>
  </si>
  <si>
    <t>+54 9 203 257-3658</t>
  </si>
  <si>
    <t>https://www.linkedin.com/in/julieta-nahuel-diaz-lopez-33</t>
  </si>
  <si>
    <t>Thiago Valentin Navarro Avila</t>
  </si>
  <si>
    <t>Gte de Sistemas</t>
  </si>
  <si>
    <t>thiago.val@molinacorp.com.ar</t>
  </si>
  <si>
    <t>+54 9 95 838-8170</t>
  </si>
  <si>
    <t>https://www.linkedin.com/in/thiago-valentin-navarro-avila-15</t>
  </si>
  <si>
    <t>placido tita refirió a roberto</t>
  </si>
  <si>
    <t>rbuttiero@grupodinosaurio.com</t>
  </si>
  <si>
    <t>Sr(a). Camila Martinez</t>
  </si>
  <si>
    <t>sr(a)..cam@molinacorp.com.ar</t>
  </si>
  <si>
    <t>+54 9 221 473-4891</t>
  </si>
  <si>
    <t>https://www.linkedin.com/in/sr(a).-camila-martinez-66</t>
  </si>
  <si>
    <t>Cardozo Group</t>
  </si>
  <si>
    <t>Octavio Olivia Rojas Sosa</t>
  </si>
  <si>
    <t>octavio.ol@cardozogro.com.ar</t>
  </si>
  <si>
    <t>+54 9 156 870-8355</t>
  </si>
  <si>
    <t>https://www.linkedin.com/in/octavio-olivia-rojas-sosa-39</t>
  </si>
  <si>
    <t>Benicio Lautaro Nicolas Medina Cordoba</t>
  </si>
  <si>
    <t>Jefe de Administración y Contabilidad</t>
  </si>
  <si>
    <t>benicio.la@cardozogro.com.ar</t>
  </si>
  <si>
    <t>+54 9 284 344-6070</t>
  </si>
  <si>
    <t>https://www.linkedin.com/in/benicio-lautaro-nicolas-medina-cordoba-70</t>
  </si>
  <si>
    <t>Paulina Sanchez</t>
  </si>
  <si>
    <t>paulina.sa@cardozogro.com.ar</t>
  </si>
  <si>
    <t>+54 9 110 476-8218</t>
  </si>
  <si>
    <t>https://www.linkedin.com/in/paulina-sanchez-69</t>
  </si>
  <si>
    <t>Thiago Renata Ortiz</t>
  </si>
  <si>
    <t>thiago.ren@cardozogro.com.ar</t>
  </si>
  <si>
    <t>https://www.linkedin.com/in/thiago-renata-ortiz-46</t>
  </si>
  <si>
    <t>Thiago Nicolas Benjamin Castro</t>
  </si>
  <si>
    <t>Jefa de Finanzas</t>
  </si>
  <si>
    <t>+54 9 206 614-9641</t>
  </si>
  <si>
    <t>https://www.linkedin.com/in/thiago-nicolas-benjamin-castro-63</t>
  </si>
  <si>
    <t>Dr(a). Juana Diaz</t>
  </si>
  <si>
    <t>dr(a)..jua@rodriguezs.com.ar</t>
  </si>
  <si>
    <t>+54 9 93 936-4271</t>
  </si>
  <si>
    <t>https://www.linkedin.com/in/dr(a).-juana-diaz-87</t>
  </si>
  <si>
    <t>Olivia Zoe Jazmin Aguirre</t>
  </si>
  <si>
    <t>olivia.zoe@rodriguezs.com.ar</t>
  </si>
  <si>
    <t>+54 9 81 993-5096</t>
  </si>
  <si>
    <t>https://www.linkedin.com/in/olivia-zoe-jazmin-aguirre-16</t>
  </si>
  <si>
    <t>Valentina Gael Martin Moreno</t>
  </si>
  <si>
    <t>valentina.@rodriguezs.com.ar</t>
  </si>
  <si>
    <t>+54 9 257 995-7081</t>
  </si>
  <si>
    <t>https://www.linkedin.com/in/valentina-gael-martin-moreno-80</t>
  </si>
  <si>
    <t>Malena Ponce</t>
  </si>
  <si>
    <t>malena.pon@rodriguezs.com.ar</t>
  </si>
  <si>
    <t>+54 9 63 828-9452</t>
  </si>
  <si>
    <t>https://www.linkedin.com/in/malena-ponce-25</t>
  </si>
  <si>
    <t>Mateo Joaquín Suarez Avila</t>
  </si>
  <si>
    <t>mateo.joaq@nuñezsa.com.ar</t>
  </si>
  <si>
    <t>+54 9 156 185-3626</t>
  </si>
  <si>
    <t>https://www.linkedin.com/in/mateo-joaquín-suarez-avila-44</t>
  </si>
  <si>
    <t>Sr(a). Bruno Mansilla</t>
  </si>
  <si>
    <t>sr(a)..bru@nuñezsa.com.ar</t>
  </si>
  <si>
    <t>+54 9 241 625-3414</t>
  </si>
  <si>
    <t>https://www.linkedin.com/in/sr(a).-bruno-mansilla-65</t>
  </si>
  <si>
    <t>Rosario Carrizo Coronel</t>
  </si>
  <si>
    <t>rosario.ca@nuñezsa.com.ar</t>
  </si>
  <si>
    <t>+54 9 57 327-8391</t>
  </si>
  <si>
    <t>https://www.linkedin.com/in/rosario-carrizo-coronel-54</t>
  </si>
  <si>
    <t>-</t>
  </si>
  <si>
    <t>Valentino Morales</t>
  </si>
  <si>
    <t>Analista de Compras de Bebidas</t>
  </si>
  <si>
    <t>valentino.@nuñezsa.com.ar</t>
  </si>
  <si>
    <t>+54 9 24 524-1872</t>
  </si>
  <si>
    <t>https://www.linkedin.com/in/valentino-morales-60</t>
  </si>
  <si>
    <t>Lucia Gonzalez Gimenez</t>
  </si>
  <si>
    <t>lucia.gonz@nuñezsa.com.ar</t>
  </si>
  <si>
    <t>+54 9 268 482-4862</t>
  </si>
  <si>
    <t>Isabella Luca Maidana Bustos</t>
  </si>
  <si>
    <t>isabella.l@nuñezsa.com.ar</t>
  </si>
  <si>
    <t>+54 9 208 183-7142</t>
  </si>
  <si>
    <t>https://www.linkedin.com/in/isabella-luca-maidana-bustos-38</t>
  </si>
  <si>
    <t>Benjamin Rojas</t>
  </si>
  <si>
    <t>benjamin.r@nuñezsa.com.ar</t>
  </si>
  <si>
    <t>https://www.linkedin.com/in/benjamin-rojas-13</t>
  </si>
  <si>
    <t>E153</t>
  </si>
  <si>
    <t>Ramirez Ltda.</t>
  </si>
  <si>
    <t>Julia Perez Bravo</t>
  </si>
  <si>
    <t>Coordinador de Seguridad Informatica</t>
  </si>
  <si>
    <t>julia.pere@ramirezltd.com.ar</t>
  </si>
  <si>
    <t>+54 9 61 959-6493</t>
  </si>
  <si>
    <t>https://www.linkedin.com/in/julia-perez-bravo-28</t>
  </si>
  <si>
    <t>bautista.g@gonzalezsa.com.ar</t>
  </si>
  <si>
    <t>https://www.linkedin.com/in/bautista-godoy-torres-14</t>
  </si>
  <si>
    <t>E154</t>
  </si>
  <si>
    <t>Correa Corp</t>
  </si>
  <si>
    <t>Luciana Bustos</t>
  </si>
  <si>
    <t>https://www.linkedin.com/in/luciana-bustos-70</t>
  </si>
  <si>
    <t>E155</t>
  </si>
  <si>
    <t>Gomez S.A.S.</t>
  </si>
  <si>
    <t>Bruno Martinez Rios</t>
  </si>
  <si>
    <t>Responsable de equipo IT</t>
  </si>
  <si>
    <t>https://www.linkedin.com/in/bruno-martinez-rios-70</t>
  </si>
  <si>
    <t>E156</t>
  </si>
  <si>
    <t>Thiago Benjamin Camila Torres Ramirez</t>
  </si>
  <si>
    <t>Coordinador de Sistemas</t>
  </si>
  <si>
    <t>+54 9 13 181-1311</t>
  </si>
  <si>
    <t>https://www.linkedin.com/in/thiago-benjamin-camila-torres-ramirez-42</t>
  </si>
  <si>
    <t>Ortiz Group</t>
  </si>
  <si>
    <t>Julieta Milena Rodriguez</t>
  </si>
  <si>
    <t>julieta.mi@ortizgroup.com.ar</t>
  </si>
  <si>
    <t>+54 9 87 661-9647</t>
  </si>
  <si>
    <t>https://www.linkedin.com/in/julieta-milena-rodriguez-64</t>
  </si>
  <si>
    <t>E157</t>
  </si>
  <si>
    <t>Toledo S.R.L.</t>
  </si>
  <si>
    <t>Catalina Alvarez Castro</t>
  </si>
  <si>
    <t>Responsable del area de Informatica</t>
  </si>
  <si>
    <t>catalina.a@toledosrl.com.ar</t>
  </si>
  <si>
    <t>+54 9 158 343-5934</t>
  </si>
  <si>
    <t>https://www.linkedin.com/in/catalina-alvarez-castro-25</t>
  </si>
  <si>
    <t>E158</t>
  </si>
  <si>
    <t>Federico Rodriguez Farias</t>
  </si>
  <si>
    <t>Infra IT</t>
  </si>
  <si>
    <t>https://www.linkedin.com/in/federico-rodriguez-farias-40</t>
  </si>
  <si>
    <t>Moreno Internacional</t>
  </si>
  <si>
    <t>Tiziano Alma Mia Gomez Pereyra</t>
  </si>
  <si>
    <t>Informatico</t>
  </si>
  <si>
    <t>https://www.linkedin.com/in/tiziano-alma-mia-gomez-pereyra-91</t>
  </si>
  <si>
    <t>Gonzalez Argentina</t>
  </si>
  <si>
    <t>Santino Nicolas Helena Ortiz</t>
  </si>
  <si>
    <t>Network Administrator</t>
  </si>
  <si>
    <t>santino.ni@gonzalezar.com.ar</t>
  </si>
  <si>
    <t>https://www.linkedin.com/in/santino-nicolas-helena-ortiz-18</t>
  </si>
  <si>
    <t>Perez S.R.L.</t>
  </si>
  <si>
    <t>Ramiro Garcia Molina</t>
  </si>
  <si>
    <t>Soporte de sistemas de TI</t>
  </si>
  <si>
    <t>+54 9 266 711-9782</t>
  </si>
  <si>
    <t>https://www.linkedin.com/in/ramiro-garcia-molina-12</t>
  </si>
  <si>
    <t>E159</t>
  </si>
  <si>
    <t>Dominguez Group</t>
  </si>
  <si>
    <t>Alexander Josefina Soto</t>
  </si>
  <si>
    <t>Analista de Tecnologia</t>
  </si>
  <si>
    <t>alexander.@dominguezg.com.ar</t>
  </si>
  <si>
    <t>https://www.linkedin.com/in/alexander-josefina-soto-28</t>
  </si>
  <si>
    <t>Nuñez Corp</t>
  </si>
  <si>
    <t>Alexander Garcia</t>
  </si>
  <si>
    <t>Analista de TI</t>
  </si>
  <si>
    <t>alexander.@nuñezcorp.com.ar</t>
  </si>
  <si>
    <t>https://www.linkedin.com/in/alexander-garcia-64</t>
  </si>
  <si>
    <t>Ortiz S.A.</t>
  </si>
  <si>
    <t>Dr(a). Agostina Rojas</t>
  </si>
  <si>
    <t>dr(a)..ago@ortizsa.com.ar</t>
  </si>
  <si>
    <t>https://www.linkedin.com/in/dr(a).-agostina-rojas-88</t>
  </si>
  <si>
    <t>E160</t>
  </si>
  <si>
    <t>Sol Luciano Rodriguez</t>
  </si>
  <si>
    <t>Ingeniero de Sistemas</t>
  </si>
  <si>
    <t>+54 9 134 684-7825</t>
  </si>
  <si>
    <t>https://www.linkedin.com/in/sol-luciano-rodriguez-33</t>
  </si>
  <si>
    <t>E161</t>
  </si>
  <si>
    <t>Villalba S.R.L.</t>
  </si>
  <si>
    <t>Isabella Lorenzo Mansilla Romero</t>
  </si>
  <si>
    <t>Director de Informatica</t>
  </si>
  <si>
    <t>https://www.linkedin.com/in/isabella-lorenzo-mansilla-romero-77</t>
  </si>
  <si>
    <t>E162</t>
  </si>
  <si>
    <t>Vazquez Ltda.</t>
  </si>
  <si>
    <t>Dr(a). León Romero</t>
  </si>
  <si>
    <t>dr(a)..leó@vazquezltd.com.ar</t>
  </si>
  <si>
    <t>+54 9 45 638-9914</t>
  </si>
  <si>
    <t>https://www.linkedin.com/in/dr(a).-león-romero-74</t>
  </si>
  <si>
    <t>E163</t>
  </si>
  <si>
    <t>Godoy S.A.</t>
  </si>
  <si>
    <t>Morena Sosa</t>
  </si>
  <si>
    <t>Secretaria de Tecnologia</t>
  </si>
  <si>
    <t>https://www.linkedin.com/in/morena-sosa-59</t>
  </si>
  <si>
    <t>E164</t>
  </si>
  <si>
    <t>Acuña Argentina</t>
  </si>
  <si>
    <t>Santiago Nuñez</t>
  </si>
  <si>
    <t>santiago.n@acuñaargen.com.ar</t>
  </si>
  <si>
    <t>https://www.linkedin.com/in/santiago-nuñez-15</t>
  </si>
  <si>
    <t>Alvarez Internacional</t>
  </si>
  <si>
    <t>Dr(a). Lourdes Vera</t>
  </si>
  <si>
    <t>dr(a)..lou@alvarezint.com.ar</t>
  </si>
  <si>
    <t>+54 9 202 359-1266</t>
  </si>
  <si>
    <t>https://www.linkedin.com/in/dr(a).-lourdes-vera-55</t>
  </si>
  <si>
    <t>E165</t>
  </si>
  <si>
    <t>Olivia Martín Fernandez</t>
  </si>
  <si>
    <t>Administracion y Compras</t>
  </si>
  <si>
    <t>https://www.linkedin.com/in/olivia-martín-fernandez-54</t>
  </si>
  <si>
    <t>E166</t>
  </si>
  <si>
    <t>Alvarez Group</t>
  </si>
  <si>
    <t>Santino Benjamin Sanchez Sosa</t>
  </si>
  <si>
    <t>Responsable de Tecnologia</t>
  </si>
  <si>
    <t>santino.be@alvarezgro.com.ar</t>
  </si>
  <si>
    <t>https://www.linkedin.com/in/santino-benjamin-sanchez-sosa-94</t>
  </si>
  <si>
    <t>E167</t>
  </si>
  <si>
    <t>Catalina Lorenzo Castro</t>
  </si>
  <si>
    <t>https://www.linkedin.com/in/catalina-lorenzo-castro-84</t>
  </si>
  <si>
    <t>Gutierrez Ltda.</t>
  </si>
  <si>
    <t>Benjamin Sosa Gomez</t>
  </si>
  <si>
    <t>benjamin.s@gutierrezl.com.ar</t>
  </si>
  <si>
    <t>https://www.linkedin.com/in/benjamin-sosa-gomez-27</t>
  </si>
  <si>
    <t>E168</t>
  </si>
  <si>
    <t>Santino Ezequiel Benjamin Ramirez Vargas</t>
  </si>
  <si>
    <t>https://www.linkedin.com/in/santino-ezequiel-benjamin-ramirez-vargas-55</t>
  </si>
  <si>
    <t>E169</t>
  </si>
  <si>
    <t>Muñoz Ltda.</t>
  </si>
  <si>
    <t>Sr(a). Franco Lopez</t>
  </si>
  <si>
    <t>Area Informatica</t>
  </si>
  <si>
    <t>https://www.linkedin.com/in/sr(a).-franco-lopez-92</t>
  </si>
  <si>
    <t>Thiago Benjamin Thiago Benjamin Fernandez</t>
  </si>
  <si>
    <t>Asistente tecnico</t>
  </si>
  <si>
    <t>https://www.linkedin.com/in/thiago-benjamin-thiago-benjamin-fernandez-97</t>
  </si>
  <si>
    <t>Lopez Argentina</t>
  </si>
  <si>
    <t>Ciro Pilar Rodriguez Martinez</t>
  </si>
  <si>
    <t>+54 9 256 746-3986</t>
  </si>
  <si>
    <t>https://www.linkedin.com/in/ciro-pilar-rodriguez-martinez-27</t>
  </si>
  <si>
    <t>E170</t>
  </si>
  <si>
    <t>Mia Diaz</t>
  </si>
  <si>
    <t>Responsable de equipo de Sistemas</t>
  </si>
  <si>
    <t>mia.diaz@martinezsr.com.ar</t>
  </si>
  <si>
    <t>https://www.linkedin.com/in/mia-diaz-68</t>
  </si>
  <si>
    <t>E171</t>
  </si>
  <si>
    <t>Gomez S.A.</t>
  </si>
  <si>
    <t>Benjamin Camila Mansilla Alvarez</t>
  </si>
  <si>
    <t>Jefe de Operaciones y Compras</t>
  </si>
  <si>
    <t>benjamin.c@gomezsa.com.ar</t>
  </si>
  <si>
    <t>https://www.linkedin.com/in/benjamin-camila-mansilla-alvarez-47</t>
  </si>
  <si>
    <t>E172</t>
  </si>
  <si>
    <t>Guzman Group</t>
  </si>
  <si>
    <t>Ignacio Maldonado</t>
  </si>
  <si>
    <t>Lider de Tecnologia</t>
  </si>
  <si>
    <t>ignacio.ma@guzmangrou.com.ar</t>
  </si>
  <si>
    <t>https://www.linkedin.com/in/ignacio-maldonado-15</t>
  </si>
  <si>
    <t>Mendez Group</t>
  </si>
  <si>
    <t>Sr(a). Julieta Juarez</t>
  </si>
  <si>
    <t>https://www.linkedin.com/in/sr(a).-julieta-juarez-15</t>
  </si>
  <si>
    <t>Ledesma Ltda.</t>
  </si>
  <si>
    <t>Josefina Soto</t>
  </si>
  <si>
    <t>https://www.linkedin.com/in/josefina-soto-49</t>
  </si>
  <si>
    <t>E173</t>
  </si>
  <si>
    <t>Martin Internacional</t>
  </si>
  <si>
    <t>Abril Juan Manuel Martin Vargas</t>
  </si>
  <si>
    <t>abril.juan@martininte.com.ar</t>
  </si>
  <si>
    <t>https://www.linkedin.com/in/abril-juan-manuel-martin-vargas-79</t>
  </si>
  <si>
    <t>Romero Argentina</t>
  </si>
  <si>
    <t>Augusto Francesca Gomez Ortiz</t>
  </si>
  <si>
    <t>Ing. Informatico y de Sistemas</t>
  </si>
  <si>
    <t>https://www.linkedin.com/in/augusto-francesca-gomez-ortiz-42</t>
  </si>
  <si>
    <t>E174</t>
  </si>
  <si>
    <t>Sr(a). Thiago Ezequiel Molina</t>
  </si>
  <si>
    <t>Technical Project Manager</t>
  </si>
  <si>
    <t>sr(a)..thi@lunasa.com.ar</t>
  </si>
  <si>
    <t>https://www.linkedin.com/in/sr(a).-thiago-ezequiel-molina-92</t>
  </si>
  <si>
    <t>Moyano Group</t>
  </si>
  <si>
    <t>Thiago Joaquin Diaz</t>
  </si>
  <si>
    <t>thiago.joa@moyanogrou.com.ar</t>
  </si>
  <si>
    <t>https://www.linkedin.com/in/thiago-joaquin-diaz-46</t>
  </si>
  <si>
    <t>E175</t>
  </si>
  <si>
    <t>Figueroa Ltda.</t>
  </si>
  <si>
    <t>Sara Arias Ramirez</t>
  </si>
  <si>
    <t>sara.arias@figueroalt.com.ar</t>
  </si>
  <si>
    <t>Emma Milagros Vera Caceres</t>
  </si>
  <si>
    <t>emma.milag@aguirresa.com.ar</t>
  </si>
  <si>
    <t>+54 9 180 379-3039</t>
  </si>
  <si>
    <t>https://www.linkedin.com/in/emma-milagros-vera-caceres-57</t>
  </si>
  <si>
    <t>Rodriguez Internacional</t>
  </si>
  <si>
    <t>Dr(a). Clara Rojas</t>
  </si>
  <si>
    <t>dr(a)..cla@rodriguezi.com.ar</t>
  </si>
  <si>
    <t>+54 9 215 861-8204</t>
  </si>
  <si>
    <t>https://www.linkedin.com/in/dr(a).-clara-rojas-59</t>
  </si>
  <si>
    <t>E176</t>
  </si>
  <si>
    <t>Blanco Ltda.</t>
  </si>
  <si>
    <t>Juan Pablo Arias</t>
  </si>
  <si>
    <t>Gerente de TI</t>
  </si>
  <si>
    <t>juan.pablo@blancoltda.com.ar</t>
  </si>
  <si>
    <t>+54 9 106 608-9151</t>
  </si>
  <si>
    <t>https://www.linkedin.com/in/juan-pablo-arias-57</t>
  </si>
  <si>
    <t>Sr(a). Santino Martinez</t>
  </si>
  <si>
    <t>Analista de Infraestructura IT y Seguridad</t>
  </si>
  <si>
    <t>sr(a)..san@sosacorp.com.ar</t>
  </si>
  <si>
    <t>https://www.linkedin.com/in/sr(a).-santino-martinez-20</t>
  </si>
  <si>
    <t>Dominguez Internacional</t>
  </si>
  <si>
    <t>Lara Martina Velazquez</t>
  </si>
  <si>
    <t>Tecnologia Informatico</t>
  </si>
  <si>
    <t>lara.marti@dominguezi.com.ar</t>
  </si>
  <si>
    <t>https://www.linkedin.com/in/lara-martina-velazquez-20</t>
  </si>
  <si>
    <t>Peralta Internacional</t>
  </si>
  <si>
    <t>Nahiara Romero</t>
  </si>
  <si>
    <t>nahiara.ro@peraltaint.com.ar</t>
  </si>
  <si>
    <t>+54 9 103 658-5813</t>
  </si>
  <si>
    <t>https://www.linkedin.com/in/nahiara-romero-51</t>
  </si>
  <si>
    <t>E177</t>
  </si>
  <si>
    <t>Arias S.R.L.</t>
  </si>
  <si>
    <t>Benjamin Perez Gutierrez</t>
  </si>
  <si>
    <t>Infrastructure Engineer</t>
  </si>
  <si>
    <t>benjamin.p@ariassrl.com.ar</t>
  </si>
  <si>
    <t>https://www.linkedin.com/in/benjamin-perez-gutierrez-20</t>
  </si>
  <si>
    <t>E178</t>
  </si>
  <si>
    <t>Sr(a). Tomàs Ruiz</t>
  </si>
  <si>
    <t>Analista de Ciberseguridad</t>
  </si>
  <si>
    <t>sr(a)..tom@gutierrezl.com.ar</t>
  </si>
  <si>
    <t>https://www.linkedin.com/in/sr(a).-tomàs-ruiz-94</t>
  </si>
  <si>
    <t>Sr(a). Lautaro Gonzalez</t>
  </si>
  <si>
    <t>PMO Manager IT</t>
  </si>
  <si>
    <t>sr(a)..lau@ramoscorp.com.ar</t>
  </si>
  <si>
    <t>+54 9 167 556-7981</t>
  </si>
  <si>
    <t>https://www.linkedin.com/in/sr(a).-lautaro-gonzalez-31</t>
  </si>
  <si>
    <t>Mateo Valentin Rodriguez</t>
  </si>
  <si>
    <t>Operador de Servidores</t>
  </si>
  <si>
    <t>mateo.vale@gomezargen.com.ar</t>
  </si>
  <si>
    <t>+54 9 190 557-1693</t>
  </si>
  <si>
    <t>https://www.linkedin.com/in/mateo-valentin-rodriguez-55</t>
  </si>
  <si>
    <t>Rivero Internacional</t>
  </si>
  <si>
    <t>Lautaro Alma Caceres</t>
  </si>
  <si>
    <t>lautaro.al@riverointe.com.ar</t>
  </si>
  <si>
    <t>+54 9 151 754-1939</t>
  </si>
  <si>
    <t>https://www.linkedin.com/in/lautaro-alma-caceres-19</t>
  </si>
  <si>
    <t>Pereyra Internacional</t>
  </si>
  <si>
    <t>Agustin Simon Quiroga Sanchez</t>
  </si>
  <si>
    <t>Analista de Infraestructura y Networking</t>
  </si>
  <si>
    <t>agustin.si@pereyraint.com.ar</t>
  </si>
  <si>
    <t>https://www.linkedin.com/in/agustin-simon-quiroga-sanchez-56</t>
  </si>
  <si>
    <t>Garcia S.A.S.</t>
  </si>
  <si>
    <t>Benjamin Romero Gomez</t>
  </si>
  <si>
    <t>Analista de Infraestructura</t>
  </si>
  <si>
    <t>benjamin.r@garciasas.com.ar</t>
  </si>
  <si>
    <t>https://www.linkedin.com/in/benjamin-romero-gomez-13</t>
  </si>
  <si>
    <t>E179</t>
  </si>
  <si>
    <t>Figueroa S.A.S.</t>
  </si>
  <si>
    <t>Agustina Nicolas Romero</t>
  </si>
  <si>
    <t>IT Specialist</t>
  </si>
  <si>
    <t>agustina.n@figueroasa.com.ar</t>
  </si>
  <si>
    <t>https://www.linkedin.com/in/agustina-nicolas-romero-87</t>
  </si>
  <si>
    <t>E180</t>
  </si>
  <si>
    <t>Flores Argentina</t>
  </si>
  <si>
    <t>Francisco Ruiz</t>
  </si>
  <si>
    <t>francisco.@floresarge.com.ar</t>
  </si>
  <si>
    <t>https://www.linkedin.com/in/francisco-ruiz-14</t>
  </si>
  <si>
    <t>Lopez S.A.S.</t>
  </si>
  <si>
    <t>Camila Ponce</t>
  </si>
  <si>
    <t>camila.pon@lopezsas.com.ar</t>
  </si>
  <si>
    <t>+54 9 45 341-7001</t>
  </si>
  <si>
    <t>https://www.linkedin.com/in/camila-ponce-56</t>
  </si>
  <si>
    <t>E181</t>
  </si>
  <si>
    <t>Cruz Internacional</t>
  </si>
  <si>
    <t>Mia Alvarez</t>
  </si>
  <si>
    <t>mia.alvare@cruzintern.com.ar</t>
  </si>
  <si>
    <t>https://www.linkedin.com/in/mia-alvarez-82</t>
  </si>
  <si>
    <t>Vega S.A.</t>
  </si>
  <si>
    <t>Victoria Federico Arias</t>
  </si>
  <si>
    <t>Representante de Compras</t>
  </si>
  <si>
    <t>victoria.f@vegasa.com.ar</t>
  </si>
  <si>
    <t>+54 9 89 795-8371</t>
  </si>
  <si>
    <t>https://www.linkedin.com/in/victoria-federico-arias-57</t>
  </si>
  <si>
    <t>E182</t>
  </si>
  <si>
    <t>Silva Ltda.</t>
  </si>
  <si>
    <t>Sr(a). Guadalupe Diaz</t>
  </si>
  <si>
    <t>sr(a)..gua@silvaltda.com.ar</t>
  </si>
  <si>
    <t>https://www.linkedin.com/in/sr(a).-guadalupe-diaz-66</t>
  </si>
  <si>
    <t>E183</t>
  </si>
  <si>
    <t>Gomez S.R.L.</t>
  </si>
  <si>
    <t>Bruno Godoy</t>
  </si>
  <si>
    <t>bruno.godo@gomezsrl.com.ar</t>
  </si>
  <si>
    <t>https://www.linkedin.com/in/bruno-godoy-83</t>
  </si>
  <si>
    <t>E184</t>
  </si>
  <si>
    <t>Luna S.A.S.</t>
  </si>
  <si>
    <t>Dr(a). Maria Victoria Sosa</t>
  </si>
  <si>
    <t>Analista de Sistemas de Informacion</t>
  </si>
  <si>
    <t>https://www.linkedin.com/in/dr(a).-maria-victoria-sosa-77</t>
  </si>
  <si>
    <t>Farias Ltda.</t>
  </si>
  <si>
    <t>Sr(a). Zoe Valentina Vega</t>
  </si>
  <si>
    <t>+54 9 214 421-5566</t>
  </si>
  <si>
    <t>https://www.linkedin.com/in/sr(a).-zoe-valentina-vega-41</t>
  </si>
  <si>
    <t>E185</t>
  </si>
  <si>
    <t>Sr(a). Felicitas Sanchez</t>
  </si>
  <si>
    <t>Directora de Vinculacion Tecnologica</t>
  </si>
  <si>
    <t>sr(a)..fel@garciasrl.com.ar</t>
  </si>
  <si>
    <t>+54 9 24 853-4048</t>
  </si>
  <si>
    <t>https://www.linkedin.com/in/sr(a).-felicitas-sanchez-73</t>
  </si>
  <si>
    <t>E186</t>
  </si>
  <si>
    <t>Martinez Internacional</t>
  </si>
  <si>
    <t>Joaquin Ledesma Gutierrez</t>
  </si>
  <si>
    <t>Administrador de Servidores</t>
  </si>
  <si>
    <t>joaquin.le@martinezin.com.ar</t>
  </si>
  <si>
    <t>https://www.linkedin.com/in/joaquin-ledesma-gutierrez-81</t>
  </si>
  <si>
    <t>Ramirez S.R.L.</t>
  </si>
  <si>
    <t>Dante Pedro Suarez</t>
  </si>
  <si>
    <t>dante.pedr@ramirezsrl.com.ar</t>
  </si>
  <si>
    <t>https://www.linkedin.com/in/dante-pedro-suarez-43</t>
  </si>
  <si>
    <t>Rojas Corp</t>
  </si>
  <si>
    <t>Lautaro Benjamin Morena Fernandez</t>
  </si>
  <si>
    <t>lautaro.be@rojascorp.com.ar</t>
  </si>
  <si>
    <t>https://www.linkedin.com/in/lautaro-benjamin-morena-fernandez-67</t>
  </si>
  <si>
    <t>E187</t>
  </si>
  <si>
    <t>Ana Paula Guzman</t>
  </si>
  <si>
    <t>ana.paula.@sanchezgro.com.ar</t>
  </si>
  <si>
    <t>https://www.linkedin.com/in/ana-paula-guzman-88</t>
  </si>
  <si>
    <t>E188</t>
  </si>
  <si>
    <t>Moyano Corp</t>
  </si>
  <si>
    <t>Valentino Maldonado</t>
  </si>
  <si>
    <t>valentino.@moyanocorp.com.ar</t>
  </si>
  <si>
    <t>+54 9 262 304-3009</t>
  </si>
  <si>
    <t>https://www.linkedin.com/in/valentino-maldonado-27</t>
  </si>
  <si>
    <t>E189</t>
  </si>
  <si>
    <t>Soto S.R.L.</t>
  </si>
  <si>
    <t>Dr(a). Renata Aguirre</t>
  </si>
  <si>
    <t>Especialista en soporte tecnico</t>
  </si>
  <si>
    <t>https://www.linkedin.com/in/dr(a).-renata-aguirre-67</t>
  </si>
  <si>
    <t>E190</t>
  </si>
  <si>
    <t>Vega S.A.S.</t>
  </si>
  <si>
    <t>Pilar Rodriguez</t>
  </si>
  <si>
    <t>Coordinador de Proyectos de TI</t>
  </si>
  <si>
    <t>pilar.rodr@vegasas.com.ar</t>
  </si>
  <si>
    <t>https://www.linkedin.com/in/pilar-rodriguez-66</t>
  </si>
  <si>
    <t>Gonzalez S.R.L.</t>
  </si>
  <si>
    <t>Juana Victoria Rojas</t>
  </si>
  <si>
    <t>Administrador de Sistemas IT</t>
  </si>
  <si>
    <t>https://www.linkedin.com/in/juana-victoria-rojas-97</t>
  </si>
  <si>
    <t>Tiziano Ramos</t>
  </si>
  <si>
    <t>tiziano.ra@lopezltda.com.ar</t>
  </si>
  <si>
    <t>+54 9 188 826-2063</t>
  </si>
  <si>
    <t>https://www.linkedin.com/in/tiziano-ramos-80</t>
  </si>
  <si>
    <t>E191</t>
  </si>
  <si>
    <t>Aguirre Corp</t>
  </si>
  <si>
    <t>Sr(a). Franco Perez</t>
  </si>
  <si>
    <t>sr(a)..fra@aguirrecor.com.ar</t>
  </si>
  <si>
    <t>https://www.linkedin.com/in/sr(a).-franco-perez-48</t>
  </si>
  <si>
    <t>E192</t>
  </si>
  <si>
    <t>Molina S.A.S.</t>
  </si>
  <si>
    <t>Juan Pablo Matilda Coronel Benitez</t>
  </si>
  <si>
    <t>Tecnico de Infraestructura de TI</t>
  </si>
  <si>
    <t>https://www.linkedin.com/in/juan-pablo-matilda-coronel-benitez-99</t>
  </si>
  <si>
    <t>E193</t>
  </si>
  <si>
    <t>Diaz S.A.S.</t>
  </si>
  <si>
    <t>Santino Rivero</t>
  </si>
  <si>
    <t>+54 9 196 620-4673</t>
  </si>
  <si>
    <t>https://www.linkedin.com/in/santino-rivero-25</t>
  </si>
  <si>
    <t>Francisca Martina Perez Guzman</t>
  </si>
  <si>
    <t>Administrador del Sistema</t>
  </si>
  <si>
    <t>https://www.linkedin.com/in/francisca-martina-perez-guzman-27</t>
  </si>
  <si>
    <t>E194</t>
  </si>
  <si>
    <t>Octavio Martinez Correa</t>
  </si>
  <si>
    <t>Administracion de Personal</t>
  </si>
  <si>
    <t>https://www.linkedin.com/in/octavio-martinez-correa-73</t>
  </si>
  <si>
    <t>E195</t>
  </si>
  <si>
    <t>Candela Tomas Flores Rios</t>
  </si>
  <si>
    <t>Departamento Informatico</t>
  </si>
  <si>
    <t>https://www.linkedin.com/in/candela-tomas-flores-rios-56</t>
  </si>
  <si>
    <t>E196</t>
  </si>
  <si>
    <t>Caceres Ltda.</t>
  </si>
  <si>
    <t>Luciana Franco Rojas</t>
  </si>
  <si>
    <t>Analista de Ciberseguridad, redes e Infraestructura</t>
  </si>
  <si>
    <t>luciana.fr@caceresltd.com.ar</t>
  </si>
  <si>
    <t>+54 9 250 922-3126</t>
  </si>
  <si>
    <t>https://www.linkedin.com/in/luciana-franco-rojas-88</t>
  </si>
  <si>
    <t>Luna S.R.L.</t>
  </si>
  <si>
    <t>Juan Cruz Federico Garcia</t>
  </si>
  <si>
    <t>Infraestructura Informatica</t>
  </si>
  <si>
    <t>https://www.linkedin.com/in/juan-cruz-federico-garcia-18</t>
  </si>
  <si>
    <t>E197</t>
  </si>
  <si>
    <t>Sr(a). Valentino Cardozo</t>
  </si>
  <si>
    <t>sr(a)..val@perezcorp.com.ar</t>
  </si>
  <si>
    <t>+54 9 214 834-8842</t>
  </si>
  <si>
    <t>https://www.linkedin.com/in/sr(a).-valentino-cardozo-77</t>
  </si>
  <si>
    <t>E198</t>
  </si>
  <si>
    <t>Samuel Aguero Fernandez</t>
  </si>
  <si>
    <t>samuel.agu@ramirezint.com.ar</t>
  </si>
  <si>
    <t>https://www.linkedin.com/in/samuel-aguero-fernandez-62</t>
  </si>
  <si>
    <t>Felipe Juan Cruz Martinez</t>
  </si>
  <si>
    <t>Coordinador comercial y de compras</t>
  </si>
  <si>
    <t>felipe.jua@aguerosrl.com.ar</t>
  </si>
  <si>
    <t>https://www.linkedin.com/in/felipe-juan-cruz-martinez-26</t>
  </si>
  <si>
    <t>E199</t>
  </si>
  <si>
    <t>Mansilla Ltda.</t>
  </si>
  <si>
    <t>Morena Silva</t>
  </si>
  <si>
    <t>morena.sil@mansillalt.com.ar</t>
  </si>
  <si>
    <t>https://www.linkedin.com/in/morena-silva-92</t>
  </si>
  <si>
    <t>Thiago Rodriguez</t>
  </si>
  <si>
    <t>thiago.rod@perezsrl.com.ar</t>
  </si>
  <si>
    <t>+54 9 241 577-9476</t>
  </si>
  <si>
    <t>https://www.linkedin.com/in/thiago-rodriguez-54</t>
  </si>
  <si>
    <t>E200</t>
  </si>
  <si>
    <t>Arias S.A.S.</t>
  </si>
  <si>
    <t>Lola Cardozo Ledesma</t>
  </si>
  <si>
    <t>Tecnico de Sistemas</t>
  </si>
  <si>
    <t>lola.cardo@ariassas.com.ar</t>
  </si>
  <si>
    <t>https://www.linkedin.com/in/lola-cardozo-ledesma-80</t>
  </si>
  <si>
    <t>Lucero S.A.S.</t>
  </si>
  <si>
    <t>Maria Guadalupe Romero</t>
  </si>
  <si>
    <t>maria.guad@lucerosas.com.ar</t>
  </si>
  <si>
    <t>https://www.linkedin.com/in/maria-guadalupe-romero-26</t>
  </si>
  <si>
    <t>Sebastian Medina Dominguez</t>
  </si>
  <si>
    <t>sebastian.@gonzalezin.com.ar</t>
  </si>
  <si>
    <t>https://www.linkedin.com/in/sebastian-medina-dominguez-74</t>
  </si>
  <si>
    <t>E201</t>
  </si>
  <si>
    <t>Sosa S.A.</t>
  </si>
  <si>
    <t>Violeta Ruiz Martin</t>
  </si>
  <si>
    <t>violeta.ru@sosasa.com.ar</t>
  </si>
  <si>
    <t>+54 9 74 630-3507</t>
  </si>
  <si>
    <t>https://www.linkedin.com/in/violeta-ruiz-martin-48</t>
  </si>
  <si>
    <t>Paz S.A.S.</t>
  </si>
  <si>
    <t>Thiago Benjamin Rivero</t>
  </si>
  <si>
    <t>Asistente IT</t>
  </si>
  <si>
    <t>thiago.ben@pazsas.com.ar</t>
  </si>
  <si>
    <t>https://www.linkedin.com/in/thiago-benjamin-rivero-30</t>
  </si>
  <si>
    <t>Romero Ltda.</t>
  </si>
  <si>
    <t>Sr(a). Tiziano Suarez</t>
  </si>
  <si>
    <t>sr(a)..tiz@romeroltda.com.ar</t>
  </si>
  <si>
    <t>https://www.linkedin.com/in/sr(a).-tiziano-suarez-38</t>
  </si>
  <si>
    <t>E229</t>
  </si>
  <si>
    <t>Isabella Morales Miranda</t>
  </si>
  <si>
    <t>Sistemas e Informatica</t>
  </si>
  <si>
    <t>isabella.m@romeroltda.com.ar</t>
  </si>
  <si>
    <t>https://www.linkedin.com/in/isabella-morales-miranda-76</t>
  </si>
  <si>
    <t>Simon Benjamin Campos</t>
  </si>
  <si>
    <t>Tecnico Informatico</t>
  </si>
  <si>
    <t>simon.benj@gonzalezco.com.ar</t>
  </si>
  <si>
    <t>https://www.linkedin.com/in/simon-benjamin-campos-20</t>
  </si>
  <si>
    <t>Justina Julieta Hernandez</t>
  </si>
  <si>
    <t>Tecnico de Soporte de Ti</t>
  </si>
  <si>
    <t>https://www.linkedin.com/in/justina-julieta-hernandez-35</t>
  </si>
  <si>
    <t>Lucero Corp</t>
  </si>
  <si>
    <t>Ambar Martinez Torres</t>
  </si>
  <si>
    <t>Depto. de Compras</t>
  </si>
  <si>
    <t>https://www.linkedin.com/in/ambar-martinez-torres-26</t>
  </si>
  <si>
    <t>E230</t>
  </si>
  <si>
    <t>Barrios Corp</t>
  </si>
  <si>
    <t>Isabella Lucía Ojeda</t>
  </si>
  <si>
    <t>Administrator System</t>
  </si>
  <si>
    <t>https://www.linkedin.com/in/isabella-lucía-ojeda-88</t>
  </si>
  <si>
    <t>Fernandez S.A.</t>
  </si>
  <si>
    <t>Pedro Catalina Gomez</t>
  </si>
  <si>
    <t>pedro.cata@fernandezs.com.ar</t>
  </si>
  <si>
    <t>+54 9 284 195-9234</t>
  </si>
  <si>
    <t>https://www.linkedin.com/in/pedro-catalina-gomez-92</t>
  </si>
  <si>
    <t>Agustin Valentino Martinez</t>
  </si>
  <si>
    <t>Procurement Manager</t>
  </si>
  <si>
    <t>agustin.va@fernandezs.com.ar</t>
  </si>
  <si>
    <t>+54 9 97 706-3526</t>
  </si>
  <si>
    <t>https://www.linkedin.com/in/agustin-valentino-martinez-31</t>
  </si>
  <si>
    <t>Benjamin Ledesma</t>
  </si>
  <si>
    <t>benjamin.l@fernandezs.com.ar</t>
  </si>
  <si>
    <t>+54 9 183 962-1674</t>
  </si>
  <si>
    <t>https://www.linkedin.com/in/benjamin-ledesma-13</t>
  </si>
  <si>
    <t>Constantino Flores Fernandez</t>
  </si>
  <si>
    <t>Especialista IT</t>
  </si>
  <si>
    <t>constantin@fernandezs.com.ar</t>
  </si>
  <si>
    <t>+54 9 52 146-5336</t>
  </si>
  <si>
    <t>https://www.linkedin.com/in/constantino-flores-fernandez-93</t>
  </si>
  <si>
    <t>Francisco Gomez Cordoba</t>
  </si>
  <si>
    <t>francisco.@fernandezs.com.ar</t>
  </si>
  <si>
    <t>+54 9 118 885-7825</t>
  </si>
  <si>
    <t>https://www.linkedin.com/in/francisco-gomez-cordoba-89</t>
  </si>
  <si>
    <t>Campos Argentina</t>
  </si>
  <si>
    <t>Josefina Lucero Fernandez</t>
  </si>
  <si>
    <t>josefina.l@camposarge.com.ar</t>
  </si>
  <si>
    <t>+54 9 26 609-9938</t>
  </si>
  <si>
    <t>https://www.linkedin.com/in/josefina-lucero-fernandez-47</t>
  </si>
  <si>
    <t>Santino Benjamin Agostina Rodriguez</t>
  </si>
  <si>
    <t>santino.be@camposarge.com.ar</t>
  </si>
  <si>
    <t>+54 9 165 594-5012</t>
  </si>
  <si>
    <t>https://www.linkedin.com/in/santino-benjamin-agostina-rodriguez-97</t>
  </si>
  <si>
    <t>Rodriguez S.A.S.</t>
  </si>
  <si>
    <t>Sr(a). Tomas Lopez</t>
  </si>
  <si>
    <t>IT Infrastructure Lead</t>
  </si>
  <si>
    <t>sr(a)..tom@rodriguezs.com.ar</t>
  </si>
  <si>
    <t>+54 9 218 404-8430</t>
  </si>
  <si>
    <t>https://www.linkedin.com/in/sr(a).-tomas-lopez-19</t>
  </si>
  <si>
    <t>Joaquín Lucía Fernandez Ramirez</t>
  </si>
  <si>
    <t>joaquín.lu@rodriguezs.com.ar</t>
  </si>
  <si>
    <t>+54 9 41 261-8202</t>
  </si>
  <si>
    <t>https://www.linkedin.com/in/joaquín-lucía-fernandez-ramirez-63</t>
  </si>
  <si>
    <t>Candela Rodriguez</t>
  </si>
  <si>
    <t>candela.ro@rodriguezs.com.ar</t>
  </si>
  <si>
    <t>+54 9 258 575-4342</t>
  </si>
  <si>
    <t>https://www.linkedin.com/in/candela-rodriguez-53</t>
  </si>
  <si>
    <t>maacosta@mansfieldmin.com</t>
  </si>
  <si>
    <t>Valentino Gomez Ojeda</t>
  </si>
  <si>
    <t>valentino.@lopezsa.com.ar</t>
  </si>
  <si>
    <t>+54 9 84 420-6231</t>
  </si>
  <si>
    <t>Luisina Josefina Fernandez Garcia</t>
  </si>
  <si>
    <t>luisina.jo@lopezsa.com.ar</t>
  </si>
  <si>
    <t>+54 9 187 508-3142</t>
  </si>
  <si>
    <t>https://www.linkedin.com/in/luisina-josefina-fernandez-garcia-57</t>
  </si>
  <si>
    <t>Valentina Juarez Muñoz</t>
  </si>
  <si>
    <t>Director de YMAD</t>
  </si>
  <si>
    <t>valentina.@lopezsa.com.ar</t>
  </si>
  <si>
    <t>+54 9 274 675-2739</t>
  </si>
  <si>
    <t>https://www.linkedin.com/in/valentina-juarez-muñoz-50</t>
  </si>
  <si>
    <t>Fausto Helena Farias Dominguez</t>
  </si>
  <si>
    <t>Jefe de Suministros</t>
  </si>
  <si>
    <t>+54 9 134 577-3007</t>
  </si>
  <si>
    <t>https://www.linkedin.com/in/fausto-helena-farias-dominguez-44</t>
  </si>
  <si>
    <t>Sanchez Argentina</t>
  </si>
  <si>
    <t>Sr(a). Lautaro Ezequiel Garcia</t>
  </si>
  <si>
    <t>Jefe de Innovación Financiera</t>
  </si>
  <si>
    <t>+54 9 137 244-2586</t>
  </si>
  <si>
    <t>https://www.linkedin.com/in/sr(a).-lautaro-ezequiel-garcia-16</t>
  </si>
  <si>
    <t>Martín Arias Martinez</t>
  </si>
  <si>
    <t>Director de Negocios</t>
  </si>
  <si>
    <t>+54 9 159 493-7850</t>
  </si>
  <si>
    <t>https://www.linkedin.com/in/martín-arias-martinez-41</t>
  </si>
  <si>
    <t>Santino Gimenez</t>
  </si>
  <si>
    <t>+54 9 92 933-6364</t>
  </si>
  <si>
    <t>https://www.linkedin.com/in/santino-gimenez-83</t>
  </si>
  <si>
    <t>Sr(a). Bruno Bravo</t>
  </si>
  <si>
    <t>Gerente Financiero</t>
  </si>
  <si>
    <t>+54 9 171 294-3610</t>
  </si>
  <si>
    <t>https://www.linkedin.com/in/sr(a).-bruno-bravo-73</t>
  </si>
  <si>
    <t>Lucas Benjamin Valentino Guzman Ortiz</t>
  </si>
  <si>
    <t>lucas.benj@sanchezarg.com.ar</t>
  </si>
  <si>
    <t>https://www.linkedin.com/in/lucas-benjamin-valentino-guzman-ortiz-75</t>
  </si>
  <si>
    <t>Manuel Joaquin Herrera Olivera</t>
  </si>
  <si>
    <t>+54 9 250 610-6055</t>
  </si>
  <si>
    <t>https://www.linkedin.com/in/manuel-joaquin-herrera-olivera-73</t>
  </si>
  <si>
    <t>Benjamin Rodriguez Perez</t>
  </si>
  <si>
    <t>https://www.linkedin.com/in/benjamin-rodriguez-perez-12</t>
  </si>
  <si>
    <t>Thiago Gabriel Duarte Ruiz</t>
  </si>
  <si>
    <t>Encargado de Operaciones</t>
  </si>
  <si>
    <t>+54 9 57 502-9281</t>
  </si>
  <si>
    <t>https://www.linkedin.com/in/thiago-gabriel-duarte-ruiz-68</t>
  </si>
  <si>
    <t>Garcia Group</t>
  </si>
  <si>
    <t>Dr(a). Pedro Ruiz</t>
  </si>
  <si>
    <t>dr(a)..ped@garciagrou.com.ar</t>
  </si>
  <si>
    <t>+54 9 121 697-6781</t>
  </si>
  <si>
    <t>https://www.linkedin.com/in/dr(a).-pedro-ruiz-16</t>
  </si>
  <si>
    <t>Sr(a). Victoria Sanchez</t>
  </si>
  <si>
    <t>sr(a)..vic@garciagrou.com.ar</t>
  </si>
  <si>
    <t>+54 9 36 388-9108</t>
  </si>
  <si>
    <t>https://www.linkedin.com/in/sr(a).-victoria-sanchez-86</t>
  </si>
  <si>
    <t>E238</t>
  </si>
  <si>
    <t>Gutierrez Argentina</t>
  </si>
  <si>
    <t>Martin Felipe Romero</t>
  </si>
  <si>
    <t>martin.fel@gutierreza.com.ar</t>
  </si>
  <si>
    <t>https://www.linkedin.com/in/martin-felipe-romero-46</t>
  </si>
  <si>
    <t>Josefina Benitez Moyano</t>
  </si>
  <si>
    <t>+54 9 66 541-3194</t>
  </si>
  <si>
    <t>https://www.linkedin.com/in/josefina-benitez-moyano-43</t>
  </si>
  <si>
    <t>E239</t>
  </si>
  <si>
    <t>Martinez Ltda.</t>
  </si>
  <si>
    <t>Catalina Lorenzo Acosta</t>
  </si>
  <si>
    <t>Responsable de Infraestructura y Telecomunicaciones</t>
  </si>
  <si>
    <t>catalina.l@martinezlt.com.ar</t>
  </si>
  <si>
    <t>https://www.linkedin.com/in/catalina-lorenzo-acosta-61</t>
  </si>
  <si>
    <t>Sr(a). Josefina Villalba</t>
  </si>
  <si>
    <t>sr(a)..jos@lunasrl.com.ar</t>
  </si>
  <si>
    <t>+54 9 198 146-7563</t>
  </si>
  <si>
    <t>https://www.linkedin.com/in/sr(a).-josefina-villalba-16</t>
  </si>
  <si>
    <t>Juan Ignacio Lucia Quiroga</t>
  </si>
  <si>
    <t>Analista de Sistemas IT</t>
  </si>
  <si>
    <t>juan.ignac@lunasrl.com.ar</t>
  </si>
  <si>
    <t>https://www.linkedin.com/in/juan-ignacio-lucia-quiroga-82</t>
  </si>
  <si>
    <t>Maximo Sofia Belen Muñoz Lopez</t>
  </si>
  <si>
    <t>+54 9 196 666-5728</t>
  </si>
  <si>
    <t>metrotec</t>
  </si>
  <si>
    <t>sistemas no existiA</t>
  </si>
  <si>
    <t xml:space="preserve">INTERESADO EN CONSULTORIA PARA MODERNIZAR </t>
  </si>
  <si>
    <t>MUDAN A UN NUEVO EDIFICIO</t>
  </si>
  <si>
    <t>E250</t>
  </si>
  <si>
    <t>MENCIONE WAREHOUSE CORDOBA</t>
  </si>
  <si>
    <t>E251</t>
  </si>
  <si>
    <t>Vargas Internacional</t>
  </si>
  <si>
    <t>benjamin.s@vargasinte.com.ar</t>
  </si>
  <si>
    <t>https://www.linkedin.com/in/benjamin-sosa-gomez-74</t>
  </si>
  <si>
    <t>dispositivos nuevos</t>
  </si>
  <si>
    <t>martes 11am</t>
  </si>
  <si>
    <t>sistemas@vadiegsa.com</t>
  </si>
  <si>
    <t>E252</t>
  </si>
  <si>
    <t>Thiago Nahuel Gonzalez Cordoba</t>
  </si>
  <si>
    <t>thiago.nah@perezargen.com.ar</t>
  </si>
  <si>
    <t>https://www.linkedin.com/in/thiago-nahuel-gonzalez-cordoba-80</t>
  </si>
  <si>
    <t>E253</t>
  </si>
  <si>
    <t>Thiago Benjamin Bravo Morales</t>
  </si>
  <si>
    <t>Administrativa de Compras</t>
  </si>
  <si>
    <t>https://www.linkedin.com/in/thiago-benjamin-bravo-morales-89</t>
  </si>
  <si>
    <t>Aguirre S.R.L.</t>
  </si>
  <si>
    <t>Dr(a). Isabella Mendez</t>
  </si>
  <si>
    <t>Chief Operations</t>
  </si>
  <si>
    <t>dr(a)..isa@aguirresrl.com.ar</t>
  </si>
  <si>
    <t>+54 9 76 199-7453</t>
  </si>
  <si>
    <t>https://www.linkedin.com/in/dr(a).-isabella-mendez-57</t>
  </si>
  <si>
    <t>E254</t>
  </si>
  <si>
    <t>Valentina Santino Silva</t>
  </si>
  <si>
    <t>https://www.linkedin.com/in/valentina-santino-silva-81</t>
  </si>
  <si>
    <t>Thiago Nicolas Benjamin Mendez</t>
  </si>
  <si>
    <t>https://www.linkedin.com/in/thiago-nicolas-benjamin-mendez-28</t>
  </si>
  <si>
    <t>E255</t>
  </si>
  <si>
    <t>Agustin Alvarez Fernandez</t>
  </si>
  <si>
    <t>Technical Support Help Desk / Soporte IT</t>
  </si>
  <si>
    <t>https://www.linkedin.com/in/agustin-alvarez-fernandez-87</t>
  </si>
  <si>
    <t>E256</t>
  </si>
  <si>
    <t>Soria Internacional</t>
  </si>
  <si>
    <t>Nicolas Avila Villalba</t>
  </si>
  <si>
    <t>nicolas.av@soriainter.com.ar</t>
  </si>
  <si>
    <t>https://www.linkedin.com/in/nicolas-avila-villalba-74</t>
  </si>
  <si>
    <t>E257</t>
  </si>
  <si>
    <t>Valentina Santino Gabriel Sanchez Paz</t>
  </si>
  <si>
    <t>valentina.@floressa.com.ar</t>
  </si>
  <si>
    <t>+54 9 34 139-3245</t>
  </si>
  <si>
    <t>https://www.linkedin.com/in/valentina-santino-gabriel-sanchez-paz-52</t>
  </si>
  <si>
    <t>E258</t>
  </si>
  <si>
    <t>Ortiz Argentina</t>
  </si>
  <si>
    <t>Juan Bautista Mendoza Lopez</t>
  </si>
  <si>
    <t>Analista de Soporte para TI</t>
  </si>
  <si>
    <t>juan.bauti@ortizargen.com.ar</t>
  </si>
  <si>
    <t>https://www.linkedin.com/in/juan-bautista-mendoza-lopez-76</t>
  </si>
  <si>
    <t>Benjamin Alejandro Rodriguez Medina</t>
  </si>
  <si>
    <t>Soporte IT</t>
  </si>
  <si>
    <t>benjamin.a@cordobaarg.com.ar</t>
  </si>
  <si>
    <t>https://www.linkedin.com/in/benjamin-alejandro-rodriguez-medina-29</t>
  </si>
  <si>
    <t>Ignacio Nicolas Gonzalez Diaz</t>
  </si>
  <si>
    <t>Analista de Soporte Tecnico IT</t>
  </si>
  <si>
    <t>https://www.linkedin.com/in/ignacio-nicolas-gonzalez-diaz-51</t>
  </si>
  <si>
    <t>Ortiz Ltda.</t>
  </si>
  <si>
    <t>Thiago Nicolas Emma Torres Valdez</t>
  </si>
  <si>
    <t>thiago.nic@ortizltda.com.ar</t>
  </si>
  <si>
    <t>+54 9 94 502-5902</t>
  </si>
  <si>
    <t>https://www.linkedin.com/in/thiago-nicolas-emma-torres-valdez-85</t>
  </si>
  <si>
    <t>E259</t>
  </si>
  <si>
    <t>Franco Ltda.</t>
  </si>
  <si>
    <t>Maria Paz Manuel Arias</t>
  </si>
  <si>
    <t>Consultor de Gestion de TI</t>
  </si>
  <si>
    <t>https://www.linkedin.com/in/maria-paz-manuel-arias-74</t>
  </si>
  <si>
    <t>Fernandez Argentina</t>
  </si>
  <si>
    <t>benjamin.r@fernandeza.com.ar</t>
  </si>
  <si>
    <t>https://www.linkedin.com/in/benjamin-rojas-82</t>
  </si>
  <si>
    <t>E260</t>
  </si>
  <si>
    <t>Maria Guadalupe Gonzalez Dominguez</t>
  </si>
  <si>
    <t>Lider de Infraestructura IT</t>
  </si>
  <si>
    <t>maria.guad@godoycorp.com.ar</t>
  </si>
  <si>
    <t>+54 9 254 935-1272</t>
  </si>
  <si>
    <t>https://www.linkedin.com/in/maria-guadalupe-gonzalez-dominguez-57</t>
  </si>
  <si>
    <t>Santino Julia Martinez Aguirre</t>
  </si>
  <si>
    <t>Consultor de Sistemas</t>
  </si>
  <si>
    <t>santino.ju@fariasltda.com.ar</t>
  </si>
  <si>
    <t>https://www.linkedin.com/in/santino-julia-martinez-aguirre-96</t>
  </si>
  <si>
    <t>Luz Milagros Catalina Ayala</t>
  </si>
  <si>
    <t>Analista de Soporte de TI</t>
  </si>
  <si>
    <t>luz.milagr@rodriguezs.com.ar</t>
  </si>
  <si>
    <t>https://www.linkedin.com/in/luz-milagros-catalina-ayala-63</t>
  </si>
  <si>
    <t>E261</t>
  </si>
  <si>
    <t>Escobar Corp</t>
  </si>
  <si>
    <t>Dr(a). Constanza Torres</t>
  </si>
  <si>
    <t>dr(a)..con@escobarcor.com.ar</t>
  </si>
  <si>
    <t>https://www.linkedin.com/in/dr(a).-constanza-torres-98</t>
  </si>
  <si>
    <t>Bravo S.A.</t>
  </si>
  <si>
    <t>Clara Gimenez Godoy</t>
  </si>
  <si>
    <t>Administrador de Recursos IT</t>
  </si>
  <si>
    <t>clara.gime@bravosa.com.ar</t>
  </si>
  <si>
    <t>+54 9 253 371-4728</t>
  </si>
  <si>
    <t>Ruiz S.A.</t>
  </si>
  <si>
    <t>Sr(a). Lorenzo Soto</t>
  </si>
  <si>
    <t>sr(a)..lor@ruizsa.com.ar</t>
  </si>
  <si>
    <t>+54 9 256 274-9589</t>
  </si>
  <si>
    <t>https://www.linkedin.com/in/sr(a).-lorenzo-soto-90</t>
  </si>
  <si>
    <t>E262</t>
  </si>
  <si>
    <t>Mia Jazmin Gabriel Ruiz Rivero</t>
  </si>
  <si>
    <t>Responsable de Soporte Informatico IT</t>
  </si>
  <si>
    <t>mia.jazmin@martinezin.com.ar</t>
  </si>
  <si>
    <t>+54 9 86 941-4968</t>
  </si>
  <si>
    <t>https://www.linkedin.com/in/mia-jazmin-gabriel-ruiz-rivero-14</t>
  </si>
  <si>
    <t>Victoria Rodriguez</t>
  </si>
  <si>
    <t>Gerente de Sistemas y Tecnologia</t>
  </si>
  <si>
    <t>victoria.r@romerosrl.com.ar</t>
  </si>
  <si>
    <t>+54 9 108 119-8225</t>
  </si>
  <si>
    <t>https://www.linkedin.com/in/victoria-rodriguez-50</t>
  </si>
  <si>
    <t>Sr(a). Felipe Lopez</t>
  </si>
  <si>
    <t>Analista de Telecomunicaciones, Sistemas y Tecnologia</t>
  </si>
  <si>
    <t>sr(a)..fel@diazintern.com.ar</t>
  </si>
  <si>
    <t>+54 9 88 522-4340</t>
  </si>
  <si>
    <t>https://www.linkedin.com/in/sr(a).-felipe-lopez-62</t>
  </si>
  <si>
    <t>E263</t>
  </si>
  <si>
    <t>Medina Argentina</t>
  </si>
  <si>
    <t>Juan Ignacio Sosa</t>
  </si>
  <si>
    <t>juan.ignac@medinaarge.com.ar</t>
  </si>
  <si>
    <t>+54 9 42 822-3262</t>
  </si>
  <si>
    <t>https://www.linkedin.com/in/juan-ignacio-sosa-76</t>
  </si>
  <si>
    <t>Vazquez Group</t>
  </si>
  <si>
    <t>Julieta Perez</t>
  </si>
  <si>
    <t>julieta.pe@vazquezgro.com.ar</t>
  </si>
  <si>
    <t>https://www.linkedin.com/in/julieta-perez-81</t>
  </si>
  <si>
    <t>E264</t>
  </si>
  <si>
    <t>Micaela Julieta Vega</t>
  </si>
  <si>
    <t>micaela.ju@gomezltda.com.ar</t>
  </si>
  <si>
    <t>https://www.linkedin.com/in/micaela-julieta-vega-94</t>
  </si>
  <si>
    <t>Juarez Argentina</t>
  </si>
  <si>
    <t>Miguel Angel Ignacio Gomez</t>
  </si>
  <si>
    <t>miguel.ang@juarezarge.com.ar</t>
  </si>
  <si>
    <t>https://www.linkedin.com/in/miguel-angel-ignacio-gomez-77</t>
  </si>
  <si>
    <t>E265</t>
  </si>
  <si>
    <t>Camila Isabella Garcia Maldonado</t>
  </si>
  <si>
    <t>Administrativo de Compras</t>
  </si>
  <si>
    <t>camila.isa@martinezin.com.ar</t>
  </si>
  <si>
    <t>https://www.linkedin.com/in/camila-isabella-garcia-maldonado-50</t>
  </si>
  <si>
    <t>Ian Castro</t>
  </si>
  <si>
    <t>ian.castro@lopezsas.com.ar</t>
  </si>
  <si>
    <t>https://www.linkedin.com/in/ian-castro-68</t>
  </si>
  <si>
    <t>Malena Cordoba Fernandez</t>
  </si>
  <si>
    <t xml:space="preserve">Gerente de Sistemas  </t>
  </si>
  <si>
    <t>malena.cor@molinaltda.com.ar</t>
  </si>
  <si>
    <t>+54 9 290 462-5331</t>
  </si>
  <si>
    <t>E266</t>
  </si>
  <si>
    <t>Valentino Gael Torres</t>
  </si>
  <si>
    <t>valentino.@gonzalezar.com.ar</t>
  </si>
  <si>
    <t>+54 9 109 352-5571</t>
  </si>
  <si>
    <t>https://www.linkedin.com/in/valentino-gael-torres-81</t>
  </si>
  <si>
    <t>Morales Corp</t>
  </si>
  <si>
    <t>Clara Perez Correa</t>
  </si>
  <si>
    <t>clara.pere@moralescor.com.ar</t>
  </si>
  <si>
    <t>https://www.linkedin.com/in/clara-perez-correa-38</t>
  </si>
  <si>
    <t>E267</t>
  </si>
  <si>
    <t>Santiago Moreno Correa</t>
  </si>
  <si>
    <t>Jefe de TI</t>
  </si>
  <si>
    <t>santiago.m@gonzalezco.com.ar</t>
  </si>
  <si>
    <t>https://www.linkedin.com/in/santiago-moreno-correa-46</t>
  </si>
  <si>
    <t>Juan Ignacio Thiago Joaquin Rodriguez Blanco</t>
  </si>
  <si>
    <t>juan.ignac@gomezgroup.com.ar</t>
  </si>
  <si>
    <t>https://www.linkedin.com/in/juan-ignacio-thiago-joaquin-rodriguez-blanco-98</t>
  </si>
  <si>
    <t>Benitez Argentina</t>
  </si>
  <si>
    <t>Guillermina Alvarez</t>
  </si>
  <si>
    <t>Jefe de Infraestructuras</t>
  </si>
  <si>
    <t>guillermin@benitezarg.com.ar</t>
  </si>
  <si>
    <t>https://www.linkedin.com/in/guillermina-alvarez-50</t>
  </si>
  <si>
    <t>E268</t>
  </si>
  <si>
    <t>Delfina Santiago Garcia Cruz</t>
  </si>
  <si>
    <t>delfina.sa@floresarge.com.ar</t>
  </si>
  <si>
    <t>https://www.linkedin.com/in/delfina-santiago-garcia-cruz-54</t>
  </si>
  <si>
    <t>Sr(a). Lara Aguirre</t>
  </si>
  <si>
    <t>+54 9 158 224-9899</t>
  </si>
  <si>
    <t>https://www.linkedin.com/in/sr(a).-lara-aguirre-58</t>
  </si>
  <si>
    <t>E269</t>
  </si>
  <si>
    <t>Isabella Garcia</t>
  </si>
  <si>
    <t>isabella.g@cruzintern.com.ar</t>
  </si>
  <si>
    <t>https://www.linkedin.com/in/isabella-garcia-54</t>
  </si>
  <si>
    <t>Fernandez S.A.S.</t>
  </si>
  <si>
    <t>Santino Benjamin Violeta Martinez</t>
  </si>
  <si>
    <t>Seguridad de la Informacion y Tecnologias</t>
  </si>
  <si>
    <t>santino.be@fernandezs.com.ar</t>
  </si>
  <si>
    <t>https://www.linkedin.com/in/santino-benjamin-violeta-martinez-47</t>
  </si>
  <si>
    <t>Toledo S.A.</t>
  </si>
  <si>
    <t>Sr(a). Juan Sebastian Vargas</t>
  </si>
  <si>
    <t>sr(a)..jua@toledosa.com.ar</t>
  </si>
  <si>
    <t>+54 9 158 831-2294</t>
  </si>
  <si>
    <t>https://www.linkedin.com/in/sr(a).-juan-sebastian-vargas-54</t>
  </si>
  <si>
    <t>Sosa Argentina</t>
  </si>
  <si>
    <t>Dr(a). Alma Ortiz</t>
  </si>
  <si>
    <t xml:space="preserve">Analista de Sistemas </t>
  </si>
  <si>
    <t>dr(a)..alm@sosaargent.com.ar</t>
  </si>
  <si>
    <t>+54 9 142 865-8849</t>
  </si>
  <si>
    <t>https://www.linkedin.com/in/dr(a).-alma-ortiz-37</t>
  </si>
  <si>
    <t>E270</t>
  </si>
  <si>
    <t>Joaquin Juan Cruz Diaz Escobar</t>
  </si>
  <si>
    <t>joaquin.ju@sanchezgro.com.ar</t>
  </si>
  <si>
    <t>https://www.linkedin.com/in/joaquin-juan-cruz-diaz-escobar-78</t>
  </si>
  <si>
    <t>E271</t>
  </si>
  <si>
    <t>Vargas Corp</t>
  </si>
  <si>
    <t>Alma Valentina Herrera Sosa</t>
  </si>
  <si>
    <t>alma.valen@vargascorp.com.ar</t>
  </si>
  <si>
    <t>https://www.linkedin.com/in/alma-valentina-herrera-sosa-81</t>
  </si>
  <si>
    <t>E272</t>
  </si>
  <si>
    <t>Martin Santino Ferreyra</t>
  </si>
  <si>
    <t>Jefe de Seguridad Informatica</t>
  </si>
  <si>
    <t>martin.san@nuñezcorp.com.ar</t>
  </si>
  <si>
    <t>+54 9 81 211-4920</t>
  </si>
  <si>
    <t>https://www.linkedin.com/in/martin-santino-ferreyra-41</t>
  </si>
  <si>
    <t>Bautista Benjamin Duarte Silva</t>
  </si>
  <si>
    <t>bautista.b@perezsa.com.ar</t>
  </si>
  <si>
    <t>+54 9 282 331-4814</t>
  </si>
  <si>
    <t>https://www.linkedin.com/in/bautista-benjamin-duarte-silva-16</t>
  </si>
  <si>
    <t>Chavez S.R.L.</t>
  </si>
  <si>
    <t>Benicio Mansilla</t>
  </si>
  <si>
    <t>benicio.ma@chavezsrl.com.ar</t>
  </si>
  <si>
    <t>+54 9 222 438-8739</t>
  </si>
  <si>
    <t>https://www.linkedin.com/in/benicio-mansilla-22</t>
  </si>
  <si>
    <t>Farias S.A.S.</t>
  </si>
  <si>
    <t>Emma Juan Cruz Ponce</t>
  </si>
  <si>
    <t>Gerente de IT</t>
  </si>
  <si>
    <t>emma.juan.@fariassas.com.ar</t>
  </si>
  <si>
    <t>+54 9 13 663-3587</t>
  </si>
  <si>
    <t>https://www.linkedin.com/in/emma-juan-cruz-ponce-62</t>
  </si>
  <si>
    <t>E273</t>
  </si>
  <si>
    <t>Sr(a). Federico Sosa</t>
  </si>
  <si>
    <t>sr(a)..fed@sosaargent.com.ar</t>
  </si>
  <si>
    <t>+54 9 255 766-4267</t>
  </si>
  <si>
    <t>https://www.linkedin.com/in/sr(a).-federico-sosa-46</t>
  </si>
  <si>
    <t>Lucas Santiago Olivera</t>
  </si>
  <si>
    <t>Especialista en Soporte IT</t>
  </si>
  <si>
    <t>lucas.sant@ortizltda.com.ar</t>
  </si>
  <si>
    <t>https://www.linkedin.com/in/lucas-santiago-olivera-46</t>
  </si>
  <si>
    <t>E274</t>
  </si>
  <si>
    <t>Lucero S.A.</t>
  </si>
  <si>
    <t>Juan Pablo Lopez</t>
  </si>
  <si>
    <t>juan.pablo@lucerosa.com.ar</t>
  </si>
  <si>
    <t>+54 9 56 767-4804</t>
  </si>
  <si>
    <t>https://www.linkedin.com/in/juan-pablo-lopez-78</t>
  </si>
  <si>
    <t>Francisco Diaz Pereyra</t>
  </si>
  <si>
    <t>francisco.@gonzalezsa.com.ar</t>
  </si>
  <si>
    <t>+54 9 100 527-3880</t>
  </si>
  <si>
    <t>https://www.linkedin.com/in/francisco-diaz-pereyra-14</t>
  </si>
  <si>
    <t>Sr(a). Micaela Romero</t>
  </si>
  <si>
    <t>sr(a)..mic@gonzalezin.com.ar</t>
  </si>
  <si>
    <t>https://www.linkedin.com/in/sr(a).-micaela-romero-73</t>
  </si>
  <si>
    <t>E275</t>
  </si>
  <si>
    <t>Isabella Felipe Vega Fernandez</t>
  </si>
  <si>
    <t>isabella.f@lopezsas.com.ar</t>
  </si>
  <si>
    <t>https://www.linkedin.com/in/isabella-felipe-vega-fernandez-47</t>
  </si>
  <si>
    <t>E276</t>
  </si>
  <si>
    <t>Dr(a). Thiago Daniel Torres</t>
  </si>
  <si>
    <t>https://www.linkedin.com/in/dr(a).-thiago-daniel-torres-11</t>
  </si>
  <si>
    <t>E277</t>
  </si>
  <si>
    <t>Acuña Corp</t>
  </si>
  <si>
    <t>Maria Victoria Romero</t>
  </si>
  <si>
    <t>maria.vict@acuñacorp.com.ar</t>
  </si>
  <si>
    <t>https://www.linkedin.com/in/maria-victoria-romero-82</t>
  </si>
  <si>
    <t>E278</t>
  </si>
  <si>
    <t>Sanchez S.R.L.</t>
  </si>
  <si>
    <t>Maria Paz Lorenzo Godoy</t>
  </si>
  <si>
    <t>+54 9 182 391-8444</t>
  </si>
  <si>
    <t>https://www.linkedin.com/in/maria-paz-lorenzo-godoy-92</t>
  </si>
  <si>
    <t>Suarez Argentina</t>
  </si>
  <si>
    <t>Joaquin León Ledesma Soria</t>
  </si>
  <si>
    <t>Jefa de Infraestructura</t>
  </si>
  <si>
    <t>joaquin.le@suarezarge.com.ar</t>
  </si>
  <si>
    <t>https://www.linkedin.com/in/joaquin-león-ledesma-soria-27</t>
  </si>
  <si>
    <t>E279</t>
  </si>
  <si>
    <t>Caceres Argentina</t>
  </si>
  <si>
    <t>Vicente Zoe Valentina Alvarez</t>
  </si>
  <si>
    <t>https://www.linkedin.com/in/vicente-zoe-valentina-alvarez-44</t>
  </si>
  <si>
    <t>Juan Ignacio Sebastian Duarte Duarte</t>
  </si>
  <si>
    <t>https://www.linkedin.com/in/juan-ignacio-sebastian-duarte-duarte-24</t>
  </si>
  <si>
    <t>E280</t>
  </si>
  <si>
    <t>Ruiz Ltda.</t>
  </si>
  <si>
    <t>Sr(a). Joaquin Sanchez</t>
  </si>
  <si>
    <t>Auxiliar de Compras</t>
  </si>
  <si>
    <t>https://www.linkedin.com/in/sr(a).-joaquin-sanchez-30</t>
  </si>
  <si>
    <t>E281</t>
  </si>
  <si>
    <t>Sr(a). Luca Gomez</t>
  </si>
  <si>
    <t>Responsable de Telecomunicaciones</t>
  </si>
  <si>
    <t>sr(a)..luc@correaarge.com.ar</t>
  </si>
  <si>
    <t>https://www.linkedin.com/in/sr(a).-luca-gomez-92</t>
  </si>
  <si>
    <t>E282</t>
  </si>
  <si>
    <t>Thiago Valentin Emma Chavez Lopez</t>
  </si>
  <si>
    <t>Responsable de IT y Sistemas</t>
  </si>
  <si>
    <t>thiago.val@aguirrecor.com.ar</t>
  </si>
  <si>
    <t>https://www.linkedin.com/in/thiago-valentin-emma-chavez-lopez-33</t>
  </si>
  <si>
    <t>E283</t>
  </si>
  <si>
    <t>Cruz S.A.</t>
  </si>
  <si>
    <t>Gael Carrizo Ojeda</t>
  </si>
  <si>
    <t>gael.carri@cruzsa.com.ar</t>
  </si>
  <si>
    <t>https://www.linkedin.com/in/gael-carrizo-ojeda-53</t>
  </si>
  <si>
    <t>Romero Corp</t>
  </si>
  <si>
    <t>Thiago Benjamin Martinez Rodriguez</t>
  </si>
  <si>
    <t>Administrador de Red y Sistemas</t>
  </si>
  <si>
    <t>https://www.linkedin.com/in/thiago-benjamin-martinez-rodriguez-82</t>
  </si>
  <si>
    <t>E249</t>
  </si>
  <si>
    <t>Perez Group</t>
  </si>
  <si>
    <t>Joaquín Gonzalez Benitez</t>
  </si>
  <si>
    <t>Lider Dpto de Compras</t>
  </si>
  <si>
    <t>+54 9 100 725-7643</t>
  </si>
  <si>
    <t>https://www.linkedin.com/in/joaquín-gonzalez-benitez-64</t>
  </si>
  <si>
    <t>Flores Ltda.</t>
  </si>
  <si>
    <t>Antonio Morena Alvarez</t>
  </si>
  <si>
    <t>Jefe de Op</t>
  </si>
  <si>
    <t>antonio.mo@floresltda.com.ar</t>
  </si>
  <si>
    <t>https://www.linkedin.com/in/antonio-morena-alvarez-21</t>
  </si>
  <si>
    <t>Molina Internacional</t>
  </si>
  <si>
    <t>Milena Caceres Silva</t>
  </si>
  <si>
    <t>milena.cac@molinainte.com.ar</t>
  </si>
  <si>
    <t>+54 9 59 289-3303</t>
  </si>
  <si>
    <t>https://www.linkedin.com/in/milena-caceres-silva-71</t>
  </si>
  <si>
    <t>rancisco narvaiza</t>
  </si>
  <si>
    <t>Navarro Ltda.</t>
  </si>
  <si>
    <t>Mateo Bautista Farias</t>
  </si>
  <si>
    <t>mateo.baut@navarroltd.com.ar</t>
  </si>
  <si>
    <t>https://www.linkedin.com/in/mateo-bautista-farias-41</t>
  </si>
  <si>
    <t>E248</t>
  </si>
  <si>
    <t>Garcia S.A.</t>
  </si>
  <si>
    <t>Thiago Benjamin Santino Romero Paez</t>
  </si>
  <si>
    <t>Gte de Finanzas</t>
  </si>
  <si>
    <t>thiago.ben@garciasa.com.ar</t>
  </si>
  <si>
    <t>Lopez Corp</t>
  </si>
  <si>
    <t>Manuel Mendoza Gomez</t>
  </si>
  <si>
    <t>Coordinador de Infra IT</t>
  </si>
  <si>
    <t>manuel.men@lopezcorp.com.ar</t>
  </si>
  <si>
    <t>+54 9 207 341-8319</t>
  </si>
  <si>
    <t>https://www.linkedin.com/in/manuel-mendoza-gomez-44</t>
  </si>
  <si>
    <t>Luna Ltda.</t>
  </si>
  <si>
    <t>Dr(a). Federico Benitez</t>
  </si>
  <si>
    <t>dr(a)..fed@lunaltda.com.ar</t>
  </si>
  <si>
    <t>https://www.linkedin.com/in/dr(a).-federico-benitez-48</t>
  </si>
  <si>
    <t>E284</t>
  </si>
  <si>
    <t>Dr(a). Mateo Gomez</t>
  </si>
  <si>
    <t>dr(a)..mat@ferreyrasa.com.ar</t>
  </si>
  <si>
    <t>https://www.linkedin.com/in/dr(a).-mateo-gomez-43</t>
  </si>
  <si>
    <t>Renata Nicolas Blanco</t>
  </si>
  <si>
    <t>Administrador Datacenter &amp; Cloud</t>
  </si>
  <si>
    <t>renata.nic@diazltda.com.ar</t>
  </si>
  <si>
    <t>https://www.linkedin.com/in/renata-nicolas-blanco-98</t>
  </si>
  <si>
    <t>E077</t>
  </si>
  <si>
    <t>Rojas Group</t>
  </si>
  <si>
    <t>Juana Catalina Ruiz Molina</t>
  </si>
  <si>
    <t>Transformación Digital</t>
  </si>
  <si>
    <t>+54 9 42 783-2936</t>
  </si>
  <si>
    <t>https://www.linkedin.com/in/juana-catalina-ruiz-molina-69</t>
  </si>
  <si>
    <t>Benicio Flores Garcia</t>
  </si>
  <si>
    <t>+54 9 92 515-9233</t>
  </si>
  <si>
    <t>https://www.linkedin.com/in/benicio-flores-garcia-49</t>
  </si>
  <si>
    <t>Dominguez S.R.L.</t>
  </si>
  <si>
    <t>Dr(a). Sofia Gonzalez</t>
  </si>
  <si>
    <t>+54 9 162 476-4618</t>
  </si>
  <si>
    <t>https://www.linkedin.com/in/dr(a).-sofia-gonzalez-38</t>
  </si>
  <si>
    <t>mmaldonado@virixene.com</t>
  </si>
  <si>
    <t>E286</t>
  </si>
  <si>
    <t>Agustin Gomez Caceres</t>
  </si>
  <si>
    <t>+54 9 89 565-7121</t>
  </si>
  <si>
    <t>https://www.linkedin.com/in/agustin-gomez-caceres-63</t>
  </si>
  <si>
    <t>E246</t>
  </si>
  <si>
    <t>Herrera Argentina</t>
  </si>
  <si>
    <t>Catalina Juan Pablo Lopez Cruz</t>
  </si>
  <si>
    <t>catalina.j@herreraarg.com.ar</t>
  </si>
  <si>
    <t>+54 9 286 921-4578</t>
  </si>
  <si>
    <t>https://www.linkedin.com/in/catalina-juan-pablo-lopez-cruz-41</t>
  </si>
  <si>
    <t>mateo.perez@petropack.com</t>
  </si>
  <si>
    <t>Martina Benitez</t>
  </si>
  <si>
    <t>martina.be@torressrl.com.ar</t>
  </si>
  <si>
    <t>+54 9 280 557-9653</t>
  </si>
  <si>
    <t>https://www.linkedin.com/in/martina-benitez-56</t>
  </si>
  <si>
    <t>E287</t>
  </si>
  <si>
    <t>Tiziano Felipe Quiroga Gomez</t>
  </si>
  <si>
    <t>Analista de redes y soporte TI</t>
  </si>
  <si>
    <t>tiziano.fe@perezsrl.com.ar</t>
  </si>
  <si>
    <t>+54 9 299 214-2011</t>
  </si>
  <si>
    <t>https://www.linkedin.com/in/tiziano-felipe-quiroga-gomez-80</t>
  </si>
  <si>
    <t>Carrizo Group</t>
  </si>
  <si>
    <t>Dr(a). Emanuel Luna</t>
  </si>
  <si>
    <t>Analista de IT</t>
  </si>
  <si>
    <t>https://www.linkedin.com/in/dr(a).-emanuel-luna-83</t>
  </si>
  <si>
    <t>Castro S.A.S.</t>
  </si>
  <si>
    <t>Sara Flores</t>
  </si>
  <si>
    <t>sara.flore@castrosas.com.ar</t>
  </si>
  <si>
    <t>+54 9 95 435-9525</t>
  </si>
  <si>
    <t>https://www.linkedin.com/in/sara-flores-66</t>
  </si>
  <si>
    <t>Rojas S.R.L.</t>
  </si>
  <si>
    <t>Franco Martinez</t>
  </si>
  <si>
    <t>franco.mar@rojassrl.com.ar</t>
  </si>
  <si>
    <t>https://www.linkedin.com/in/franco-martinez-97</t>
  </si>
  <si>
    <t>E288</t>
  </si>
  <si>
    <t>Alvaro Vera</t>
  </si>
  <si>
    <t>Gerente de Tecnologia e Innovacion</t>
  </si>
  <si>
    <t>alvaro.ver@garciagrou.com.ar</t>
  </si>
  <si>
    <t>+54 9 261 193-9361</t>
  </si>
  <si>
    <t>https://www.linkedin.com/in/alvaro-vera-67</t>
  </si>
  <si>
    <t>Gimenez S.A.</t>
  </si>
  <si>
    <t>Sr(a). Juan Ignacio Navarro</t>
  </si>
  <si>
    <t>+54 9 243 235-9409</t>
  </si>
  <si>
    <t>https://www.linkedin.com/in/sr(a).-juan-ignacio-navarro-63</t>
  </si>
  <si>
    <t>E289</t>
  </si>
  <si>
    <t>Renzo Alma Valentina Fernandez</t>
  </si>
  <si>
    <t>+54 9 299 159-8575</t>
  </si>
  <si>
    <t>https://www.linkedin.com/in/renzo-alma-valentina-fernandez-96</t>
  </si>
  <si>
    <t>Flores Corp</t>
  </si>
  <si>
    <t>Sofia Paz</t>
  </si>
  <si>
    <t>Responsable de Infraestructura y soporte</t>
  </si>
  <si>
    <t>sofia.paz@florescorp.com.ar</t>
  </si>
  <si>
    <t>+54 9 22 505-5169</t>
  </si>
  <si>
    <t>https://www.linkedin.com/in/sofia-paz-10</t>
  </si>
  <si>
    <t>E290</t>
  </si>
  <si>
    <t>Fernandez Group</t>
  </si>
  <si>
    <t>Dr(a). Juan Cruz Ojeda</t>
  </si>
  <si>
    <t>dr(a)..jua@fernandezg.com.ar</t>
  </si>
  <si>
    <t>+54 9 48 146-7941</t>
  </si>
  <si>
    <t>https://www.linkedin.com/in/dr(a).-juan-cruz-ojeda-54</t>
  </si>
  <si>
    <t>Francesca Ruiz Romero</t>
  </si>
  <si>
    <t>Infraestructura Tecnologica</t>
  </si>
  <si>
    <t>+54 9 288 161-2130</t>
  </si>
  <si>
    <t>https://www.linkedin.com/in/francesca-ruiz-romero-70</t>
  </si>
  <si>
    <t>E291</t>
  </si>
  <si>
    <t>Bastian Gonzalez</t>
  </si>
  <si>
    <t>+54 9 157 518-3948</t>
  </si>
  <si>
    <t>https://www.linkedin.com/in/bastian-gonzalez-27</t>
  </si>
  <si>
    <t>E292</t>
  </si>
  <si>
    <t>Quiroga Internacional</t>
  </si>
  <si>
    <t>Dr(a). Santino Fernandez</t>
  </si>
  <si>
    <t>+54 9 202 491-8348</t>
  </si>
  <si>
    <t>https://www.linkedin.com/in/dr(a).-santino-fernandez-58</t>
  </si>
  <si>
    <t>E293</t>
  </si>
  <si>
    <t>Ortiz Internacional</t>
  </si>
  <si>
    <t>Sr(a). Carmela Ortiz</t>
  </si>
  <si>
    <t>sr(a)..car@ortizinter.com.ar</t>
  </si>
  <si>
    <t>+54 9 52 799-9835</t>
  </si>
  <si>
    <t>https://www.linkedin.com/in/sr(a).-carmela-ortiz-27</t>
  </si>
  <si>
    <t>E294</t>
  </si>
  <si>
    <t>Joaquina Emiliano Lucero Perez</t>
  </si>
  <si>
    <t>Encargado de IT</t>
  </si>
  <si>
    <t>joaquina.e@gomezltda.com.ar</t>
  </si>
  <si>
    <t>+54 9 71 282-9802</t>
  </si>
  <si>
    <t>https://www.linkedin.com/in/joaquina-emiliano-lucero-perez-60</t>
  </si>
  <si>
    <t>Dr(a). Martina Perez</t>
  </si>
  <si>
    <t>Encargado de telecomunicaciones</t>
  </si>
  <si>
    <t>dr(a)..mar@ferreyrasa.com.ar</t>
  </si>
  <si>
    <t>+54 9 125 954-1056</t>
  </si>
  <si>
    <t>https://www.linkedin.com/in/dr(a).-martina-perez-12</t>
  </si>
  <si>
    <t>E295</t>
  </si>
  <si>
    <t>Fernandez Corp</t>
  </si>
  <si>
    <t>Dr(a). Martina Paez</t>
  </si>
  <si>
    <t>+54 9 248 789-9920</t>
  </si>
  <si>
    <t>https://www.linkedin.com/in/dr(a).-martina-paez-64</t>
  </si>
  <si>
    <t>E296</t>
  </si>
  <si>
    <t>Isabella Agustin Perez</t>
  </si>
  <si>
    <t>Ingeniero de Redes</t>
  </si>
  <si>
    <t>+54 9 128 353-8546</t>
  </si>
  <si>
    <t>https://www.linkedin.com/in/isabella-agustin-perez-54</t>
  </si>
  <si>
    <t>Sara Julieta Garcia Aguirre</t>
  </si>
  <si>
    <t>Analista de Servicio tencico</t>
  </si>
  <si>
    <t>sara.julie@torressas.com.ar</t>
  </si>
  <si>
    <t>+54 9 152 293-2848</t>
  </si>
  <si>
    <t>https://www.linkedin.com/in/sara-julieta-garcia-aguirre-14</t>
  </si>
  <si>
    <t>E297</t>
  </si>
  <si>
    <t>Ledesma Internacional</t>
  </si>
  <si>
    <t>E298</t>
  </si>
  <si>
    <t>Valentino Martin Acosta</t>
  </si>
  <si>
    <t>valentino.@gomezsa.com.ar</t>
  </si>
  <si>
    <t>https://www.linkedin.com/in/valentino-martin-acosta-40</t>
  </si>
  <si>
    <t>Sebastian Sofía Gomez Benitez</t>
  </si>
  <si>
    <t>sebastian.@pazgroup.com.ar</t>
  </si>
  <si>
    <t>+54 9 45 203-1550</t>
  </si>
  <si>
    <t>https://www.linkedin.com/in/sebastian-sofía-gomez-benitez-67</t>
  </si>
  <si>
    <t>Avila S.A.</t>
  </si>
  <si>
    <t>Thiago Nicolas Coronel</t>
  </si>
  <si>
    <t>https://www.linkedin.com/in/thiago-nicolas-coronel-41</t>
  </si>
  <si>
    <t>E299</t>
  </si>
  <si>
    <t>Aguero S.A.</t>
  </si>
  <si>
    <t>Agustina Fernandez Sanchez</t>
  </si>
  <si>
    <t>agustina.f@aguerosa.com.ar</t>
  </si>
  <si>
    <t>https://www.linkedin.com/in/agustina-fernandez-sanchez-61</t>
  </si>
  <si>
    <t>Gimenez Argentina</t>
  </si>
  <si>
    <t>Fausto Bruno Ortiz</t>
  </si>
  <si>
    <t>fausto.bru@gimenezarg.com.ar</t>
  </si>
  <si>
    <t>+54 9 130 652-4559</t>
  </si>
  <si>
    <t>https://www.linkedin.com/in/fausto-bruno-ortiz-17</t>
  </si>
  <si>
    <t>E300</t>
  </si>
  <si>
    <t>Luana Valentina Medina</t>
  </si>
  <si>
    <t>Especialista en Networking</t>
  </si>
  <si>
    <t>https://www.linkedin.com/in/luana-valentina-medina-74</t>
  </si>
  <si>
    <t>Ayala Corp</t>
  </si>
  <si>
    <t>Victoria Gael Gimenez</t>
  </si>
  <si>
    <t>Gerente de Ingenieria de Infraestructura, Network &amp; Cloud</t>
  </si>
  <si>
    <t>victoria.g@ayalacorp.com.ar</t>
  </si>
  <si>
    <t>+54 9 130 935-6224</t>
  </si>
  <si>
    <t>https://www.linkedin.com/in/victoria-gael-gimenez-83</t>
  </si>
  <si>
    <t>Godoy Ltda.</t>
  </si>
  <si>
    <t>Thiago Ezequiel Martinez Aguirre</t>
  </si>
  <si>
    <t>https://www.linkedin.com/in/thiago-ezequiel-martinez-aguirre-40</t>
  </si>
  <si>
    <t>Maria Victoria Sosa</t>
  </si>
  <si>
    <t>Especialista en Infraestructura TI</t>
  </si>
  <si>
    <t>+54 9 84 776-9540</t>
  </si>
  <si>
    <t>https://www.linkedin.com/in/maria-victoria-sosa-38</t>
  </si>
  <si>
    <t>Lautaro Ezequiel Luciano Garcia Alvarez</t>
  </si>
  <si>
    <t>Analista de Infraestructura &amp; Networking</t>
  </si>
  <si>
    <t>lautaro.ez@lopezinter.com.ar</t>
  </si>
  <si>
    <t>+54 9 164 381-1998</t>
  </si>
  <si>
    <t>https://www.linkedin.com/in/lautaro-ezequiel-luciano-garcia-alvarez-81</t>
  </si>
  <si>
    <t>E301</t>
  </si>
  <si>
    <t>Sr(a). Jazmín Moreno</t>
  </si>
  <si>
    <t>Coordinador de NOC</t>
  </si>
  <si>
    <t>+54 9 229 669-9120</t>
  </si>
  <si>
    <t>https://www.linkedin.com/in/sr(a).-jazmín-moreno-16</t>
  </si>
  <si>
    <t>Peralta Ltda.</t>
  </si>
  <si>
    <t>Jeremias Agustina Guzman Martin</t>
  </si>
  <si>
    <t>Gerente de Abastecimiento</t>
  </si>
  <si>
    <t>jeremias.a@peraltaltd.com.ar</t>
  </si>
  <si>
    <t>+54 9 206 904-9592</t>
  </si>
  <si>
    <t>https://www.linkedin.com/in/jeremias-agustina-guzman-martin-50</t>
  </si>
  <si>
    <t>Castillo Internacional</t>
  </si>
  <si>
    <t>Thiago Emanuel Moreno</t>
  </si>
  <si>
    <t>Arquitecto Infraestructura TI</t>
  </si>
  <si>
    <t>+54 9 220 252-5913</t>
  </si>
  <si>
    <t>https://www.linkedin.com/in/thiago-emanuel-moreno-58</t>
  </si>
  <si>
    <t>E302</t>
  </si>
  <si>
    <t>Juarez S.A.S.</t>
  </si>
  <si>
    <t>Francisco Cabrera Leiva</t>
  </si>
  <si>
    <t>https://www.linkedin.com/in/francisco-cabrera-leiva-78</t>
  </si>
  <si>
    <t>E303</t>
  </si>
  <si>
    <t>Vera Argentina</t>
  </si>
  <si>
    <t>Pedro Thiago Sosa Martinez</t>
  </si>
  <si>
    <t>pedro.thia@veraargent.com.ar</t>
  </si>
  <si>
    <t>+54 9 134 969-4692</t>
  </si>
  <si>
    <t>https://www.linkedin.com/in/pedro-thiago-sosa-martinez-48</t>
  </si>
  <si>
    <t>Herrera S.A.S.</t>
  </si>
  <si>
    <t>Dr(a). Maria Victoria Gonzalez</t>
  </si>
  <si>
    <t>Tecnico de Telecomunicaciones</t>
  </si>
  <si>
    <t>dr(a)..mar@herrerasas.com.ar</t>
  </si>
  <si>
    <t>https://www.linkedin.com/in/dr(a).-maria-victoria-gonzalez-69</t>
  </si>
  <si>
    <t>E304</t>
  </si>
  <si>
    <t>Franco S.A.</t>
  </si>
  <si>
    <t>Lucas Mia Garcia Castillo</t>
  </si>
  <si>
    <t>Head of TI</t>
  </si>
  <si>
    <t>lucas.mia.@francosa.com.ar</t>
  </si>
  <si>
    <t>https://www.linkedin.com/in/lucas-mia-garcia-castillo-81</t>
  </si>
  <si>
    <t>Constantino Santino Benjamin Guzman Perez</t>
  </si>
  <si>
    <t>+54 9 224 670-9683</t>
  </si>
  <si>
    <t>https://www.linkedin.com/in/constantino-santino-benjamin-guzman-perez-27</t>
  </si>
  <si>
    <t>E305</t>
  </si>
  <si>
    <t>Vega Internacional</t>
  </si>
  <si>
    <t>Santiago Agustina Martinez Rodriguez</t>
  </si>
  <si>
    <t>santiago.a@vegaintern.com.ar</t>
  </si>
  <si>
    <t>+54 9 135 361-4331</t>
  </si>
  <si>
    <t>https://www.linkedin.com/in/santiago-agustina-martinez-rodriguez-52</t>
  </si>
  <si>
    <t>E306</t>
  </si>
  <si>
    <t>Mendez S.R.L.</t>
  </si>
  <si>
    <t>Dr(a). Antonella Peralta</t>
  </si>
  <si>
    <t>Gerente NOC</t>
  </si>
  <si>
    <t>dr(a)..ant@mendezsrl.com.ar</t>
  </si>
  <si>
    <t>+54 9 241 967-7079</t>
  </si>
  <si>
    <t>https://www.linkedin.com/in/dr(a).-antonella-peralta-21</t>
  </si>
  <si>
    <t>E307</t>
  </si>
  <si>
    <t>Muñoz Group</t>
  </si>
  <si>
    <t>Mateo Joaquin Perez</t>
  </si>
  <si>
    <t>Subgerente de NOC</t>
  </si>
  <si>
    <t>mateo.joaq@muñozgroup.com.ar</t>
  </si>
  <si>
    <t>+54 9 37 374-7179</t>
  </si>
  <si>
    <t>https://www.linkedin.com/in/mateo-joaquin-perez-96</t>
  </si>
  <si>
    <t>Tiziano Benjamin Nuñez</t>
  </si>
  <si>
    <t>https://www.linkedin.com/in/tiziano-benjamin-nuñez-19</t>
  </si>
  <si>
    <t>Toledo Group</t>
  </si>
  <si>
    <t>Alma Luz Milagros Castillo</t>
  </si>
  <si>
    <t>Administrador de redes y servidores</t>
  </si>
  <si>
    <t>+54 9 297 322-8854</t>
  </si>
  <si>
    <t>https://www.linkedin.com/in/alma-luz-milagros-castillo-36</t>
  </si>
  <si>
    <t>E308</t>
  </si>
  <si>
    <t>Mia Morena Carrizo</t>
  </si>
  <si>
    <t>Administrador de sistemas y bases de datos</t>
  </si>
  <si>
    <t>mia.morena@godoyltda.com.ar</t>
  </si>
  <si>
    <t>+54 9 166 115-4470</t>
  </si>
  <si>
    <t>https://www.linkedin.com/in/mia-morena-carrizo-34</t>
  </si>
  <si>
    <t>Maite Thiago Lionel Lopez</t>
  </si>
  <si>
    <t>Responsable de Redes</t>
  </si>
  <si>
    <t>maite.thia@gimenezsrl.com.ar</t>
  </si>
  <si>
    <t>+54 9 256 348-4350</t>
  </si>
  <si>
    <t>https://www.linkedin.com/in/maite-thiago-lionel-lopez-60</t>
  </si>
  <si>
    <t>Thiago Nicolas Lisandro Castro</t>
  </si>
  <si>
    <t>Administrador de redes e Infra</t>
  </si>
  <si>
    <t>thiago.nic@gomezgroup.com.ar</t>
  </si>
  <si>
    <t>https://www.linkedin.com/in/thiago-nicolas-lisandro-castro-80</t>
  </si>
  <si>
    <t>E241</t>
  </si>
  <si>
    <t>Bustos Ltda.</t>
  </si>
  <si>
    <t>Ambar Delfina Diaz Hernandez</t>
  </si>
  <si>
    <t>+54 9 155 489-8639</t>
  </si>
  <si>
    <t>https://www.linkedin.com/in/ambar-delfina-diaz-hernandez-78</t>
  </si>
  <si>
    <t>E244</t>
  </si>
  <si>
    <t>Maia Romero</t>
  </si>
  <si>
    <t>maia.romer@pereyraint.com.ar</t>
  </si>
  <si>
    <t>+54 9 194 415-5285</t>
  </si>
  <si>
    <t>https://www.linkedin.com/in/maia-romero-56</t>
  </si>
  <si>
    <t>E309</t>
  </si>
  <si>
    <t>Malena Juan Ignacio Rodriguez Godoy</t>
  </si>
  <si>
    <t>Encargado Presupuesto</t>
  </si>
  <si>
    <t>malena.jua@perezargen.com.ar</t>
  </si>
  <si>
    <t>https://www.linkedin.com/in/malena-juan-ignacio-rodriguez-godoy-69</t>
  </si>
  <si>
    <t>e309</t>
  </si>
  <si>
    <t>Sr(a). Agustin Diaz</t>
  </si>
  <si>
    <t>sr(a)..agu@silvasrl.com.ar</t>
  </si>
  <si>
    <t>+54 9 251 879-6246</t>
  </si>
  <si>
    <t>https://www.linkedin.com/in/sr(a).-agustin-diaz-36</t>
  </si>
  <si>
    <t>Julia Ramirez</t>
  </si>
  <si>
    <t>julia.rami@gomezltda.com.ar</t>
  </si>
  <si>
    <t>+54 9 171 523-1749</t>
  </si>
  <si>
    <t>https://www.linkedin.com/in/julia-ramirez-82</t>
  </si>
  <si>
    <t>Aguero Group</t>
  </si>
  <si>
    <t>Valentino Sofia Ramirez</t>
  </si>
  <si>
    <t>nuevo encargado de sistemas</t>
  </si>
  <si>
    <t>+54 9 85 116-5272</t>
  </si>
  <si>
    <t>E310</t>
  </si>
  <si>
    <t>Felipe Guzman</t>
  </si>
  <si>
    <t>IT Solutions Leader</t>
  </si>
  <si>
    <t>+54 9 162 256-4214</t>
  </si>
  <si>
    <t>https://www.linkedin.com/in/felipe-guzman-52</t>
  </si>
  <si>
    <t>Pilar Morales Lopez</t>
  </si>
  <si>
    <t>pilar.mora@lopezgroup.com.ar</t>
  </si>
  <si>
    <t>https://www.linkedin.com/in/pilar-morales-lopez-58</t>
  </si>
  <si>
    <t>Facundo Diaz Ramos</t>
  </si>
  <si>
    <t>facundo.di@godoygroup.com.ar</t>
  </si>
  <si>
    <t>+54 9 266 663-6530</t>
  </si>
  <si>
    <t>https://www.linkedin.com/in/facundo-diaz-ramos-42</t>
  </si>
  <si>
    <t>Silva Argentina</t>
  </si>
  <si>
    <t>Morena Paulina Rodriguez</t>
  </si>
  <si>
    <t>morena.pau@silvaargen.com.ar</t>
  </si>
  <si>
    <t>+54 9 262 571-3756</t>
  </si>
  <si>
    <t>https://www.linkedin.com/in/morena-paulina-rodriguez-55</t>
  </si>
  <si>
    <t>Lola Martin</t>
  </si>
  <si>
    <t>Head of Technical Department</t>
  </si>
  <si>
    <t>lola.marti@cabrerasas.com.ar</t>
  </si>
  <si>
    <t>+54 9 82 837-9954</t>
  </si>
  <si>
    <t>https://www.linkedin.com/in/lola-martin-72</t>
  </si>
  <si>
    <t>E311</t>
  </si>
  <si>
    <t>Julia Ojeda Duarte</t>
  </si>
  <si>
    <t>julia.ojed@alvarezsas.com.ar</t>
  </si>
  <si>
    <t>+54 9 288 757-1962</t>
  </si>
  <si>
    <t>https://www.linkedin.com/in/julia-ojeda-duarte-77</t>
  </si>
  <si>
    <t>Paez S.A.</t>
  </si>
  <si>
    <t>Sr(a). Benjamin Gonzalez</t>
  </si>
  <si>
    <t>Encargado IT en misiones</t>
  </si>
  <si>
    <t>sr(a)..ben@paezsa.com.ar</t>
  </si>
  <si>
    <t>+54 9 49 937-1794</t>
  </si>
  <si>
    <t>https://www.linkedin.com/in/sr(a).-benjamin-gonzalez-10</t>
  </si>
  <si>
    <t>Ponce Internacional</t>
  </si>
  <si>
    <t>Juliana Lautaro Fernandez</t>
  </si>
  <si>
    <t>Encargado IT Chaco</t>
  </si>
  <si>
    <t>juliana.la@ponceinter.com.ar</t>
  </si>
  <si>
    <t>+54 9 81 962-4791</t>
  </si>
  <si>
    <t>https://www.linkedin.com/in/juliana-lautaro-fernandez-18</t>
  </si>
  <si>
    <t>Dr(a). Mateo Paz</t>
  </si>
  <si>
    <t>Lider Infraestructura IT</t>
  </si>
  <si>
    <t>dr(a)..mat@alvarezsas.com.ar</t>
  </si>
  <si>
    <t>+54 9 15 323-9285</t>
  </si>
  <si>
    <t>https://www.linkedin.com/in/dr(a).-mateo-paz-68</t>
  </si>
  <si>
    <t>Garcia Ltda.</t>
  </si>
  <si>
    <t>Facundo Maximo Pereyra Benitez</t>
  </si>
  <si>
    <t>Jefe IT Trelew</t>
  </si>
  <si>
    <t>facundo.ma@garcialtda.com.ar</t>
  </si>
  <si>
    <t>+54 9 41 732-8916</t>
  </si>
  <si>
    <t>https://www.linkedin.com/in/facundo-maximo-pereyra-benitez-94</t>
  </si>
  <si>
    <t>Castillo Argentina</t>
  </si>
  <si>
    <t>Alma Santino Nicolas Sosa</t>
  </si>
  <si>
    <t>alma.santi@castilloar.com.ar</t>
  </si>
  <si>
    <t>Benjamin Martinez</t>
  </si>
  <si>
    <t>Analista de Presupuesto</t>
  </si>
  <si>
    <t>benjamin.m@lopezsa.com.ar</t>
  </si>
  <si>
    <t>https://www.linkedin.com/in/benjamin-martinez-10</t>
  </si>
  <si>
    <t>E312</t>
  </si>
  <si>
    <t>Abril Salvador Lopez</t>
  </si>
  <si>
    <t xml:space="preserve">Jefe de Seguridad </t>
  </si>
  <si>
    <t>abril.salv@velazquezi.com.ar</t>
  </si>
  <si>
    <t>https://www.linkedin.com/in/abril-salvador-lopez-11</t>
  </si>
  <si>
    <t>E313</t>
  </si>
  <si>
    <t>Torres S.A.</t>
  </si>
  <si>
    <t>Thiago Godoy Vazquez</t>
  </si>
  <si>
    <t>Encargado de Mantenimiento Infraestructura y Tecnología en Telecomunicaciones</t>
  </si>
  <si>
    <t>https://www.linkedin.com/in/thiago-godoy-vazquez-77</t>
  </si>
  <si>
    <t>E314</t>
  </si>
  <si>
    <t>Rios Corp</t>
  </si>
  <si>
    <t>Sr(a). Antonella Ferreyra</t>
  </si>
  <si>
    <t>sr(a)..ant@rioscorp.com.ar</t>
  </si>
  <si>
    <t>+54 9 285 393-1280</t>
  </si>
  <si>
    <t>https://www.linkedin.com/in/sr(a).-antonella-ferreyra-74</t>
  </si>
  <si>
    <t>E315</t>
  </si>
  <si>
    <t>E316</t>
  </si>
  <si>
    <t>Ledesma S.A.S.</t>
  </si>
  <si>
    <t>Simon Gomez</t>
  </si>
  <si>
    <t>+54 9 65 198-9591</t>
  </si>
  <si>
    <t>https://www.linkedin.com/in/simon-gomez-29</t>
  </si>
  <si>
    <t>E317</t>
  </si>
  <si>
    <t>Sofia Ramiro Gonzalez</t>
  </si>
  <si>
    <t>Gestion de Infraestructura</t>
  </si>
  <si>
    <t>+54 9 109 734-9625</t>
  </si>
  <si>
    <t>https://www.linkedin.com/in/sofia-ramiro-gonzalez-42</t>
  </si>
  <si>
    <t>E318</t>
  </si>
  <si>
    <t>Antonella Perez Juarez</t>
  </si>
  <si>
    <t>Responsable de sistemas</t>
  </si>
  <si>
    <t>+54 9 147 914-7502</t>
  </si>
  <si>
    <t>https://www.linkedin.com/in/antonella-perez-juarez-20</t>
  </si>
  <si>
    <t>E319</t>
  </si>
  <si>
    <t>Bianca Rios Garcia</t>
  </si>
  <si>
    <t>+54 9 218 570-4984</t>
  </si>
  <si>
    <t>https://www.linkedin.com/in/bianca-rios-garcia-99</t>
  </si>
  <si>
    <t>E320</t>
  </si>
  <si>
    <t>Caceres Group</t>
  </si>
  <si>
    <t>Sofia Diaz</t>
  </si>
  <si>
    <t>https://www.linkedin.com/in/sofia-diaz-48</t>
  </si>
  <si>
    <t>Sr(a). Benicio Ramirez</t>
  </si>
  <si>
    <t>Especialista en Infraestructura</t>
  </si>
  <si>
    <t>+54 9 27 195-7640</t>
  </si>
  <si>
    <t>https://www.linkedin.com/in/sr(a).-benicio-ramirez-58</t>
  </si>
  <si>
    <t>E321</t>
  </si>
  <si>
    <t>Dr(a). Thiago Emanuel Castillo</t>
  </si>
  <si>
    <t>Director de Sistemas y Tecnologia</t>
  </si>
  <si>
    <t>+54 9 293 587-1919</t>
  </si>
  <si>
    <t>https://www.linkedin.com/in/dr(a).-thiago-emanuel-castillo-91</t>
  </si>
  <si>
    <t>Suarez S.A.</t>
  </si>
  <si>
    <t>Benjamin Felicitas Barrios</t>
  </si>
  <si>
    <t>E324</t>
  </si>
  <si>
    <t>Miranda S.A.S.</t>
  </si>
  <si>
    <t>Felipe Gomez</t>
  </si>
  <si>
    <t>felipe.gom@mirandasas.com.ar</t>
  </si>
  <si>
    <t>+54 9 53 611-8109</t>
  </si>
  <si>
    <t>https://www.linkedin.com/in/felipe-gomez-92</t>
  </si>
  <si>
    <t>E387</t>
  </si>
  <si>
    <t>Responsable de Logistica</t>
  </si>
  <si>
    <t>martin.san@lucerosas.com.ar</t>
  </si>
  <si>
    <t>+54 9 180 679-2562</t>
  </si>
  <si>
    <t>https://www.linkedin.com/in/martin-santino-ferreyra-77</t>
  </si>
  <si>
    <t>E397</t>
  </si>
  <si>
    <t>Gutierrez S.A.</t>
  </si>
  <si>
    <t>Florencia Moreno Medina</t>
  </si>
  <si>
    <t>florencia.@gutierrezs.com.ar</t>
  </si>
  <si>
    <t>+54 9 128 316-8790</t>
  </si>
  <si>
    <t>https://www.linkedin.com/in/florencia-moreno-medina-44</t>
  </si>
  <si>
    <t>Thiago Benjamin Isabella Correa Hernandez</t>
  </si>
  <si>
    <t>Analista de Compras Salud</t>
  </si>
  <si>
    <t>+54 9 34 176-5593</t>
  </si>
  <si>
    <t>https://www.linkedin.com/in/thiago-benjamin-isabella-correa-hernandez-79</t>
  </si>
  <si>
    <t>Benicio Amparo Flores Gomez</t>
  </si>
  <si>
    <t>Gerente Finanzas</t>
  </si>
  <si>
    <t>+54 9 299 773-1539</t>
  </si>
  <si>
    <t>https://www.linkedin.com/in/benicio-amparo-flores-gomez-32</t>
  </si>
  <si>
    <t>Benjamin Fernandez Moreno</t>
  </si>
  <si>
    <t>benjamin.f@gutierrezs.com.ar</t>
  </si>
  <si>
    <t>+54 9 172 116-4394</t>
  </si>
  <si>
    <t>https://www.linkedin.com/in/benjamin-fernandez-moreno-85</t>
  </si>
  <si>
    <t>E325</t>
  </si>
  <si>
    <t>Ivan Perez</t>
  </si>
  <si>
    <t>Jefe de Sist Retail</t>
  </si>
  <si>
    <t>ivan.perez@romerosas.com.ar</t>
  </si>
  <si>
    <t>+54 9 214 178-5903</t>
  </si>
  <si>
    <t>https://www.linkedin.com/in/ivan-perez-30</t>
  </si>
  <si>
    <t>E326</t>
  </si>
  <si>
    <t>Thiago Romero Gomez</t>
  </si>
  <si>
    <t>thiago.rom@romerosas.com.ar</t>
  </si>
  <si>
    <t>https://www.linkedin.com/in/thiago-romero-gomez-82</t>
  </si>
  <si>
    <t>Luisina Perez</t>
  </si>
  <si>
    <t>Gte Admin y finanzas</t>
  </si>
  <si>
    <t>+54 9 134 680-7375</t>
  </si>
  <si>
    <t>https://www.linkedin.com/in/luisina-perez-96</t>
  </si>
  <si>
    <t>E327</t>
  </si>
  <si>
    <t>Luciano Suarez</t>
  </si>
  <si>
    <t>luciano.su@gonzalezlt.com.ar</t>
  </si>
  <si>
    <t>+54 9 287 439-7288</t>
  </si>
  <si>
    <t>https://www.linkedin.com/in/luciano-suarez-27</t>
  </si>
  <si>
    <t xml:space="preserve">oillanes@bmcc.com.bo </t>
  </si>
  <si>
    <t>ID_EMPRESA</t>
  </si>
  <si>
    <t>INDUSTRIA</t>
  </si>
  <si>
    <t>WEB</t>
  </si>
  <si>
    <t>REVENEW</t>
  </si>
  <si>
    <t>REVENEW USD</t>
  </si>
  <si>
    <t>EMPLEADOS</t>
  </si>
  <si>
    <t>PROVINCIA</t>
  </si>
  <si>
    <t>IS</t>
  </si>
  <si>
    <t>SITUACION</t>
  </si>
  <si>
    <t>COMENTARIOS</t>
  </si>
  <si>
    <t>AM</t>
  </si>
  <si>
    <t>N° DE OPORTUNIDAD</t>
  </si>
  <si>
    <t>STATUS</t>
  </si>
  <si>
    <t>MONTO COTIZADO</t>
  </si>
  <si>
    <t>Gobierno</t>
  </si>
  <si>
    <t>https://www.empresa-ejemplo.com</t>
  </si>
  <si>
    <t>SIN DATOS</t>
  </si>
  <si>
    <t>200-500</t>
  </si>
  <si>
    <t>Mendoza</t>
  </si>
  <si>
    <t>AM2</t>
  </si>
  <si>
    <t>Prospectando</t>
  </si>
  <si>
    <t>1,000-5,000</t>
  </si>
  <si>
    <t>Manufactura</t>
  </si>
  <si>
    <t>50M-100M</t>
  </si>
  <si>
    <t>35K - 70K</t>
  </si>
  <si>
    <t>Educación</t>
  </si>
  <si>
    <t>250M-500M</t>
  </si>
  <si>
    <t>170K - 350K</t>
  </si>
  <si>
    <t>Salud</t>
  </si>
  <si>
    <t>Petroleo_Gas_Mineria</t>
  </si>
  <si>
    <t>500-1,000</t>
  </si>
  <si>
    <t>Entretenimiento</t>
  </si>
  <si>
    <t>Service_Provider</t>
  </si>
  <si>
    <t>100M-250M</t>
  </si>
  <si>
    <t>70K - 170K</t>
  </si>
  <si>
    <t>Transporte_Logistica</t>
  </si>
  <si>
    <t>Reunion Agendada</t>
  </si>
  <si>
    <t>1B-10B</t>
  </si>
  <si>
    <t>700K - 7M</t>
  </si>
  <si>
    <t>10M-50M</t>
  </si>
  <si>
    <t>7K - 35K</t>
  </si>
  <si>
    <t>50-200</t>
  </si>
  <si>
    <t>201 - 500</t>
  </si>
  <si>
    <t>1M-10M</t>
  </si>
  <si>
    <t>51 - 200</t>
  </si>
  <si>
    <t>Energia</t>
  </si>
  <si>
    <t>No interesado</t>
  </si>
  <si>
    <t>Sin comentarios.</t>
  </si>
  <si>
    <t>11 - 50</t>
  </si>
  <si>
    <t>Construccion</t>
  </si>
  <si>
    <t>10,000-100,000</t>
  </si>
  <si>
    <t>Cordoba</t>
  </si>
  <si>
    <t>AM1</t>
  </si>
  <si>
    <t>5M-10M</t>
  </si>
  <si>
    <t>Neuquen</t>
  </si>
  <si>
    <t>Gomez Corp</t>
  </si>
  <si>
    <t>Banca</t>
  </si>
  <si>
    <t>AM4</t>
  </si>
  <si>
    <t>S/D</t>
  </si>
  <si>
    <t>Torres Internacional</t>
  </si>
  <si>
    <t>LM</t>
  </si>
  <si>
    <t>500M-1B</t>
  </si>
  <si>
    <t>Olivera S.A.S.</t>
  </si>
  <si>
    <t>Automotriz</t>
  </si>
  <si>
    <t>Mansilla Internacional</t>
  </si>
  <si>
    <t>Buenos_Aires</t>
  </si>
  <si>
    <t>La_Pampa</t>
  </si>
  <si>
    <t>Sanchez S.A.</t>
  </si>
  <si>
    <t>5,000-10,000</t>
  </si>
  <si>
    <t>Leiva Ltda.</t>
  </si>
  <si>
    <t>Hernandez Internacional</t>
  </si>
  <si>
    <t>Ferreyra S.R.L.</t>
  </si>
  <si>
    <t>Medina Group</t>
  </si>
  <si>
    <t>Santa_Fe</t>
  </si>
  <si>
    <t xml:space="preserve">Tucuman </t>
  </si>
  <si>
    <t>Salta</t>
  </si>
  <si>
    <t>Morales Argentina</t>
  </si>
  <si>
    <t>AM3</t>
  </si>
  <si>
    <t>cargado</t>
  </si>
  <si>
    <t>Franco S.A.S.</t>
  </si>
  <si>
    <t>Valdez S.R.L.</t>
  </si>
  <si>
    <t>Rio_Negro</t>
  </si>
  <si>
    <t>Muñoz Argentina</t>
  </si>
  <si>
    <t>Rojas S.A.</t>
  </si>
  <si>
    <t>PE</t>
  </si>
  <si>
    <t>Cotizado</t>
  </si>
  <si>
    <t>Hernandez S.A.S.</t>
  </si>
  <si>
    <t>MELMG20260309-193074</t>
  </si>
  <si>
    <t>Development</t>
  </si>
  <si>
    <t>Tecnologia</t>
  </si>
  <si>
    <t>JMONT20250403-124897</t>
  </si>
  <si>
    <t>LOST</t>
  </si>
  <si>
    <t>YHAIM20250901-152660</t>
  </si>
  <si>
    <t>DEVELOPMENT</t>
  </si>
  <si>
    <t>JMONT20250714-145066</t>
  </si>
  <si>
    <t>Coronel S.A.S.</t>
  </si>
  <si>
    <t>Competencia</t>
  </si>
  <si>
    <t>Lucero S.R.L.</t>
  </si>
  <si>
    <t>Leiva Argentina</t>
  </si>
  <si>
    <t>Retail</t>
  </si>
  <si>
    <t>Coronel Argentina</t>
  </si>
  <si>
    <t>Vazquez S.A.S.</t>
  </si>
  <si>
    <t>Herrera Internacional</t>
  </si>
  <si>
    <t>Hernandez Corp</t>
  </si>
  <si>
    <t>Rojas Argentina</t>
  </si>
  <si>
    <t>Ojeda Argentina</t>
  </si>
  <si>
    <t>Romero S.A.</t>
  </si>
  <si>
    <t>Nuñez S.R.L.</t>
  </si>
  <si>
    <t>Martinez S.A.</t>
  </si>
  <si>
    <t>Morales S.A.</t>
  </si>
  <si>
    <t>Barrios S.R.L.</t>
  </si>
  <si>
    <t>Maidana Group</t>
  </si>
  <si>
    <t>Lopez S.R.L.</t>
  </si>
  <si>
    <t>Gomez Internacional</t>
  </si>
  <si>
    <t>Peralta S.A.</t>
  </si>
  <si>
    <t>Velazquez S.R.L.</t>
  </si>
  <si>
    <t>Ruiz Internacional</t>
  </si>
  <si>
    <t>Acosta Group</t>
  </si>
  <si>
    <t>Blanco S.A.S.</t>
  </si>
  <si>
    <t>Guzman Argentina</t>
  </si>
  <si>
    <t>Franco Argentina</t>
  </si>
  <si>
    <t>Miranda S.R.L.</t>
  </si>
  <si>
    <t>Martin S.A.S.</t>
  </si>
  <si>
    <t>Roldan S.A.</t>
  </si>
  <si>
    <t>Paez Group</t>
  </si>
  <si>
    <t>1K - 7K</t>
  </si>
  <si>
    <t>La_Rioja</t>
  </si>
  <si>
    <t>Entre_Rios</t>
  </si>
  <si>
    <t>Vera Group</t>
  </si>
  <si>
    <t>Santa_Cruz</t>
  </si>
  <si>
    <t>Carrizo Corp</t>
  </si>
  <si>
    <t>Garcia Internacional</t>
  </si>
  <si>
    <t>Sanchez S.A.S.</t>
  </si>
  <si>
    <t>Cardozo Corp</t>
  </si>
  <si>
    <t>Medina Ltda.</t>
  </si>
  <si>
    <t>Franco S.R.L.</t>
  </si>
  <si>
    <t>Santiago_del_Estero</t>
  </si>
  <si>
    <t>Torres Ltda.</t>
  </si>
  <si>
    <t>Miranda Group</t>
  </si>
  <si>
    <t>Quiroga Ltda.</t>
  </si>
  <si>
    <t>Cabrera Corp</t>
  </si>
  <si>
    <t>Ferreyra Argentina</t>
  </si>
  <si>
    <t>Maldonado S.A.</t>
  </si>
  <si>
    <t>Acuña S.A.S.</t>
  </si>
  <si>
    <t>Juarez Corp</t>
  </si>
  <si>
    <t>Farias S.A.</t>
  </si>
  <si>
    <t>Villalba Corp</t>
  </si>
  <si>
    <t>Cruz S.R.L.</t>
  </si>
  <si>
    <t>Miranda S.A.</t>
  </si>
  <si>
    <t>Nuñez Ltda.</t>
  </si>
  <si>
    <t>Mendoza S.A.</t>
  </si>
  <si>
    <t>Arias Corp</t>
  </si>
  <si>
    <t>Guzman Ltda.</t>
  </si>
  <si>
    <t>Misiones</t>
  </si>
  <si>
    <t>Vargas S.R.L.</t>
  </si>
  <si>
    <t>Cruz Ltda.</t>
  </si>
  <si>
    <t>Rios S.A.S.</t>
  </si>
  <si>
    <t>Soria S.A.S.</t>
  </si>
  <si>
    <t>Guzman S.A.S.</t>
  </si>
  <si>
    <t>Correa S.A.</t>
  </si>
  <si>
    <t>Romero Group</t>
  </si>
  <si>
    <t>MES</t>
  </si>
  <si>
    <t>COTIZACION</t>
  </si>
  <si>
    <t>NUMERO DE OPP</t>
  </si>
  <si>
    <t>COMISION</t>
  </si>
  <si>
    <t>ENERO</t>
  </si>
  <si>
    <t>Flores S.R.L.</t>
  </si>
  <si>
    <t>NO</t>
  </si>
  <si>
    <t>AM5</t>
  </si>
  <si>
    <t>SI</t>
  </si>
  <si>
    <t>BLVI20260158-724540</t>
  </si>
  <si>
    <t>10USD</t>
  </si>
  <si>
    <t>EN ESPERA</t>
  </si>
  <si>
    <t>FEBRERO</t>
  </si>
  <si>
    <t>Ojeda S.A.</t>
  </si>
  <si>
    <t>MARZO</t>
  </si>
  <si>
    <t>Chavez Corp</t>
  </si>
  <si>
    <t>Farias Argentina</t>
  </si>
  <si>
    <t>JLM</t>
  </si>
  <si>
    <t>MANDO PARTE DEL LISTADO, FALTAN ESPECIFICACIONES</t>
  </si>
  <si>
    <t>Bustos Group</t>
  </si>
  <si>
    <t>Suarez Ltda.</t>
  </si>
  <si>
    <t>Benitez Internacional</t>
  </si>
  <si>
    <t>Cabrera S.R.L.</t>
  </si>
  <si>
    <t>Guzman Corp</t>
  </si>
  <si>
    <t>REPROGRAMADA PARA VIERNES 27/3</t>
  </si>
  <si>
    <t>GJUE20256484-432061</t>
  </si>
  <si>
    <t>Provincias</t>
  </si>
  <si>
    <t>Situacion</t>
  </si>
  <si>
    <t>Industria</t>
  </si>
  <si>
    <t>Revenew</t>
  </si>
  <si>
    <t>Empleados</t>
  </si>
  <si>
    <t>Estado_Contrato</t>
  </si>
  <si>
    <t>Salesforce_Status</t>
  </si>
  <si>
    <t>Ailen</t>
  </si>
  <si>
    <t>Franco</t>
  </si>
  <si>
    <t>Revenew USD</t>
  </si>
  <si>
    <t>HP</t>
  </si>
  <si>
    <t>AA</t>
  </si>
  <si>
    <t>Lost</t>
  </si>
  <si>
    <t>CC</t>
  </si>
  <si>
    <t>FZ</t>
  </si>
  <si>
    <t>F/P</t>
  </si>
  <si>
    <t>Nurture</t>
  </si>
  <si>
    <t>Santa Fe</t>
  </si>
  <si>
    <t>3K - 7K</t>
  </si>
  <si>
    <t>Catamarca</t>
  </si>
  <si>
    <t>Win</t>
  </si>
  <si>
    <t>Jujuy</t>
  </si>
  <si>
    <t>No contesta</t>
  </si>
  <si>
    <t xml:space="preserve">San_Juan </t>
  </si>
  <si>
    <t>350K - 700K</t>
  </si>
  <si>
    <t>San_Luis</t>
  </si>
  <si>
    <t>Chubut</t>
  </si>
  <si>
    <t>Chaco</t>
  </si>
  <si>
    <t>Corrientes</t>
  </si>
  <si>
    <t>Formosa</t>
  </si>
  <si>
    <t>Cuenta de EMPRESA</t>
  </si>
  <si>
    <t>(en blanco)</t>
  </si>
  <si>
    <t>Total general</t>
  </si>
  <si>
    <t>EMPRESAS POR INDUSTRIA</t>
  </si>
  <si>
    <t>PROMEDIO EMPLEADOS</t>
  </si>
  <si>
    <t>1000-5000</t>
  </si>
  <si>
    <t>Manufactura_Logistica</t>
  </si>
  <si>
    <t>500-1000</t>
  </si>
  <si>
    <t>IDEA</t>
  </si>
  <si>
    <t xml:space="preserve">EMPRESAS QUE MAYOR EMPLEADOS TENGAN, MAYOR PROBABILIDAD DE CONTACTOS, MAYOR PROBABILIDAD DE INFRAESTRUCTURA </t>
  </si>
  <si>
    <t>BUSCAR LOS MEJORES LOGOS</t>
  </si>
  <si>
    <t>PETROLEO</t>
  </si>
  <si>
    <t>MANUFACTURA LOGISTICA</t>
  </si>
  <si>
    <t>MANUFACTURA</t>
  </si>
  <si>
    <t>ENERGIA</t>
  </si>
  <si>
    <t>Columna1</t>
  </si>
  <si>
    <t>CRITERIO</t>
  </si>
  <si>
    <t>12 logos | 1000 - 5000 empleados</t>
  </si>
  <si>
    <t>10 logos | 1000 - 5000 empleados</t>
  </si>
  <si>
    <t>6 logos | 1000 - 5000 empleados</t>
  </si>
  <si>
    <t>9 logos | 1000 - 5000 empleados</t>
  </si>
  <si>
    <t>20 logos | 1000 - 5000 empleados</t>
  </si>
  <si>
    <t>7 logos | 1000 - 5000 empleados</t>
  </si>
  <si>
    <t>28 logos | 1000 - 5000 empleados</t>
  </si>
  <si>
    <t>9 logos | 500 - 1000 empleados</t>
  </si>
  <si>
    <t>10 logos | 500 - 1000 empleados</t>
  </si>
  <si>
    <t>5 logos | 500 - 1000 empleados</t>
  </si>
  <si>
    <t>30 logos | 200 - 500 empleados</t>
  </si>
  <si>
    <t>61 logos | 200 - 500 empleados</t>
  </si>
  <si>
    <t>31 logos | 200 - 500 empleados</t>
  </si>
  <si>
    <t>Petroleo, Gas y Mineria</t>
  </si>
  <si>
    <t>Transporte y Logistica</t>
  </si>
  <si>
    <t>Service Provider</t>
  </si>
  <si>
    <t>PROMEDIO DE EMPLEADOS</t>
  </si>
  <si>
    <t>1000 - 5000 empleados</t>
  </si>
  <si>
    <t>Petroleo,Gas y Mineria</t>
  </si>
  <si>
    <t>500 - 1000 empleados</t>
  </si>
  <si>
    <t>200 - 500 empleados</t>
  </si>
  <si>
    <t>Revenue máximo</t>
  </si>
  <si>
    <t>Nivel</t>
  </si>
  <si>
    <t>5M–10M</t>
  </si>
  <si>
    <t>Construcción</t>
  </si>
  <si>
    <t>10M–50M</t>
  </si>
  <si>
    <t>Tecnología</t>
  </si>
  <si>
    <t>Transporte_Logística</t>
  </si>
  <si>
    <t>50M–100M</t>
  </si>
  <si>
    <t>100M–250M</t>
  </si>
  <si>
    <t>Energía</t>
  </si>
  <si>
    <t>250M–500M</t>
  </si>
  <si>
    <t>Manufactura_Logística</t>
  </si>
  <si>
    <t>500M–1B</t>
  </si>
  <si>
    <t>Petróleo_Gas_Minería</t>
  </si>
  <si>
    <t>1B–10B</t>
  </si>
  <si>
    <t>IDEA:</t>
  </si>
  <si>
    <t>PRIORIZAR LAS QUE MAYOR REVENEW TENGAN, AGREGAR MAS EMPRESAS DE ESTE TIPO DE INDUSTRIA</t>
  </si>
  <si>
    <t>MAYOR PROBABILIDAD DE INFRAESTRUCTURA</t>
  </si>
  <si>
    <t> </t>
  </si>
  <si>
    <t>(Todas)</t>
  </si>
  <si>
    <t>Cuenta de SITUACION</t>
  </si>
  <si>
    <t>MAPA DE C/ EMPRESAS X PROVINCIA</t>
  </si>
  <si>
    <t>LISTO</t>
  </si>
  <si>
    <t>C/ DE CONTACTOS X EMPRESAS</t>
  </si>
  <si>
    <t>“Revenue máximo por industria” (POTENCIAL MÁXIMO)</t>
  </si>
  <si>
    <t>GRAFICAR CANTIDAD DE EMPRESAS X INDUSTRIA Y ACOMPAÑAR CON CUANTO ES EL PROMEDIO DE EMPLEADOS</t>
  </si>
  <si>
    <t xml:space="preserve">CUALES SON NEW LOGO Y STATUS DE COMPETENCIA </t>
  </si>
  <si>
    <t>PREGUNTAR PABLO</t>
  </si>
  <si>
    <t>QUE ACCIÓNES TOMAR? (EVENTOS, CAMPAÑAS, MARKETING)</t>
  </si>
  <si>
    <t>MOSTRAR METODOLOGIAS Y RETROALIMENTACIÓN PARA LA BASE</t>
  </si>
  <si>
    <t>PREGUNTAR A PABLO</t>
  </si>
  <si>
    <t xml:space="preserve">IDEA RANKING DE EMPRESAS CON REVENEW MAS ALTO? </t>
  </si>
  <si>
    <t xml:space="preserve">RANKEAR EMPRESAS X REVENEWS MAS ALTOS </t>
  </si>
  <si>
    <t>TOTA GENERAL</t>
  </si>
  <si>
    <t>Barrick Gold</t>
  </si>
  <si>
    <t>Prodeman S.A.</t>
  </si>
  <si>
    <t>Aguas Santafesinas S.A.</t>
  </si>
  <si>
    <t>Electronica Megatone S.A. + Conmega A.C.E. (Musimundo)</t>
  </si>
  <si>
    <t>Analista 1</t>
  </si>
  <si>
    <t>Analista 2</t>
  </si>
  <si>
    <t>Suarez S.R.L.</t>
  </si>
  <si>
    <t>CYLT20251775-238943</t>
  </si>
  <si>
    <t>ELOK20250531-193972</t>
  </si>
  <si>
    <t>OPUW20250303-406024</t>
  </si>
  <si>
    <t>KUSO20254078-699743</t>
  </si>
  <si>
    <t>Mineria</t>
  </si>
  <si>
    <t>REGG20252491-166340</t>
  </si>
  <si>
    <t>NO GO</t>
  </si>
  <si>
    <t>LKMB20254224-358568</t>
  </si>
  <si>
    <t>BARRICK GOLD</t>
  </si>
  <si>
    <t>PEST2025</t>
  </si>
  <si>
    <t>PFCH20256584-448354</t>
  </si>
  <si>
    <t>PRODEMAN</t>
  </si>
  <si>
    <t>Aguero Internacional</t>
  </si>
  <si>
    <t>UIIV20260767-723266</t>
  </si>
  <si>
    <t>AGUAS SANTAFESINAS</t>
  </si>
  <si>
    <t>Pereyra S.A.S.</t>
  </si>
  <si>
    <t>HPSM20253011-517584</t>
  </si>
  <si>
    <t>CONMEGA</t>
  </si>
  <si>
    <t xml:space="preserve">JMONT2025 </t>
  </si>
  <si>
    <t>HSMO20254072-441716</t>
  </si>
  <si>
    <t>AUBASA</t>
  </si>
  <si>
    <t>JVKC20259339-309505</t>
  </si>
  <si>
    <t>PORO20257664-842776</t>
  </si>
  <si>
    <t>Total 100M-250M</t>
  </si>
  <si>
    <t>Total 1B-10B</t>
  </si>
  <si>
    <t>Total 250M-500M</t>
  </si>
  <si>
    <t>Total 500M-1B</t>
  </si>
  <si>
    <t>Total 50M-100M</t>
  </si>
  <si>
    <t>Andesmar</t>
  </si>
  <si>
    <t>Argenfruit</t>
  </si>
  <si>
    <t>Bimbo Argentina</t>
  </si>
  <si>
    <t>Bodegas Salentein</t>
  </si>
  <si>
    <t>Catena Zapata</t>
  </si>
  <si>
    <t>Citrusvil - Grupo Lucci</t>
  </si>
  <si>
    <t>Compañía Servicios Farmaceuticos Csf</t>
  </si>
  <si>
    <t>Coprotab - Cooperativa Productora Del Tabaco</t>
  </si>
  <si>
    <t>Expofrut Argentina S. A.</t>
  </si>
  <si>
    <t>Garcia Hnos</t>
  </si>
  <si>
    <t>Grupo Lorenzo</t>
  </si>
  <si>
    <t>ICSA</t>
  </si>
  <si>
    <t>La Coste De Los Andes</t>
  </si>
  <si>
    <t>La Sibila</t>
  </si>
  <si>
    <t>Maniagro Argentina</t>
  </si>
  <si>
    <t>Molinos</t>
  </si>
  <si>
    <t>Moño Azul S.A.</t>
  </si>
  <si>
    <t>Systel</t>
  </si>
  <si>
    <t>Tersuave</t>
  </si>
  <si>
    <t>Verallia</t>
  </si>
  <si>
    <t>Vines Of Mendoza</t>
  </si>
  <si>
    <t>Gitanes</t>
  </si>
  <si>
    <t>Mattievich</t>
  </si>
  <si>
    <t>Porta Hnos</t>
  </si>
  <si>
    <t>Fadea</t>
  </si>
  <si>
    <t>Grupo Disal</t>
  </si>
  <si>
    <t>Maxion Montich</t>
  </si>
  <si>
    <t>Argenti Lemon</t>
  </si>
  <si>
    <t>TEMA NUMEROS DE REUNIONES</t>
  </si>
  <si>
    <t>DATOS DE PROSPECCIÓN</t>
  </si>
  <si>
    <t>EMPRESAS NEW LOGO</t>
  </si>
  <si>
    <t>CONTACTOS EN PROSPECCIÓN</t>
  </si>
  <si>
    <t>REUNIONES AGENDADAS</t>
  </si>
  <si>
    <t>COTIZACIÓNES</t>
  </si>
  <si>
    <t>URL</t>
  </si>
  <si>
    <t>CALIFICADO</t>
  </si>
  <si>
    <t>Marzo</t>
  </si>
  <si>
    <t>https://crm.ejemplo.com/lead/60324</t>
  </si>
  <si>
    <t>Seguimiento en curso.</t>
  </si>
  <si>
    <t>https://crm.ejemplo.com/lead/83607</t>
  </si>
  <si>
    <t>https://crm.ejemplo.com/lead/76248</t>
  </si>
  <si>
    <t>https://crm.ejemplo.com/lead/95599</t>
  </si>
  <si>
    <t>https://crm.ejemplo.com/lead/74876</t>
  </si>
  <si>
    <t>https://crm.ejemplo.com/lead/63626</t>
  </si>
  <si>
    <t>IMAT</t>
  </si>
  <si>
    <t>CASINO MAGIC</t>
  </si>
  <si>
    <t>YPFB</t>
  </si>
  <si>
    <t>INSAMANI</t>
  </si>
  <si>
    <t>BPN</t>
  </si>
  <si>
    <t>CASINO DEL RIO</t>
  </si>
  <si>
    <t>GYP</t>
  </si>
  <si>
    <t>FECHA</t>
  </si>
  <si>
    <t>+54 9 235 916-5773</t>
  </si>
  <si>
    <t>https://www.linkedin.com/in/isabella-velazquez-cabrera-36</t>
  </si>
  <si>
    <t>+54 9 46 938-7703</t>
  </si>
  <si>
    <t>https://www.linkedin.com/in/mora-julieta-molina-98</t>
  </si>
  <si>
    <t>+54 9 266 242-5961</t>
  </si>
  <si>
    <t>https://www.linkedin.com/in/sr(a).-valentino-martinez-96</t>
  </si>
  <si>
    <t>+54 9 140 774-3525</t>
  </si>
  <si>
    <t>https://www.linkedin.com/in/lara-fausto-ferreyra-40</t>
  </si>
  <si>
    <t>+54 9 204 175-8357</t>
  </si>
  <si>
    <t>https://www.linkedin.com/in/victoria-acosta-cardozo-64</t>
  </si>
  <si>
    <t>+54 9 256 696-7566</t>
  </si>
  <si>
    <t>https://www.linkedin.com/in/juan-ignacio-martinez-86</t>
  </si>
  <si>
    <t>+54 9 270 990-7853</t>
  </si>
  <si>
    <t>https://www.linkedin.com/in/maximo-julian-aguirre-78</t>
  </si>
  <si>
    <t>+54 9 289 137-6890</t>
  </si>
  <si>
    <t>Muñoz S.R.L.</t>
  </si>
  <si>
    <t>+54 9 138 773-6816</t>
  </si>
  <si>
    <t>https://www.linkedin.com/in/sara-moyano-23</t>
  </si>
  <si>
    <t>+54 9 33 676-7547</t>
  </si>
  <si>
    <t>https://www.linkedin.com/in/enzo-benjamin-ortiz-gomez-31</t>
  </si>
  <si>
    <t>+54 9 231 208-1172</t>
  </si>
  <si>
    <t>https://www.linkedin.com/in/lautaro-paz-52</t>
  </si>
  <si>
    <t>+54 9 143 327-9366</t>
  </si>
  <si>
    <t>https://www.linkedin.com/in/mora-julieta-molina-22</t>
  </si>
  <si>
    <t>+54 9 296 694-4621</t>
  </si>
  <si>
    <t>https://www.linkedin.com/in/maria-emilia-agustin-perez-76</t>
  </si>
  <si>
    <t>+54 9 202 500-8586</t>
  </si>
  <si>
    <t>https://www.linkedin.com/in/lisandro-mansilla-67</t>
  </si>
  <si>
    <t>francisco.@garciacorp.com.ar</t>
  </si>
  <si>
    <t>+54 9 267 254-6651</t>
  </si>
  <si>
    <t>https://www.linkedin.com/in/francisco-diaz-pereyra-96</t>
  </si>
  <si>
    <t>juan.pablo@garciacorp.com.ar</t>
  </si>
  <si>
    <t>+54 9 258 207-5840</t>
  </si>
  <si>
    <t>https://www.linkedin.com/in/juan-pablo-lopez-13</t>
  </si>
  <si>
    <t>+54 9 54 218-3321</t>
  </si>
  <si>
    <t>https://www.linkedin.com/in/thiago-valentin-lorenzo-gomez-63</t>
  </si>
  <si>
    <t>Ema Valentina  Romero</t>
  </si>
  <si>
    <t>Administrador de Red</t>
  </si>
  <si>
    <t>ema.valent@gomezgroup.com.ar</t>
  </si>
  <si>
    <t>+54 9 170 451-8460</t>
  </si>
  <si>
    <t>https://www.linkedin.com/in/ema-valentina--romero-54</t>
  </si>
  <si>
    <t>+54 9 277 594-6706</t>
  </si>
  <si>
    <t>https://www.linkedin.com/in/geronimo-bianca-gomez-36</t>
  </si>
  <si>
    <t>emma.moren@lucerosrl.com.ar</t>
  </si>
  <si>
    <t>+54 9 60 548-8412</t>
  </si>
  <si>
    <t>https://www.linkedin.com/in/emma-morena-sosa-70</t>
  </si>
  <si>
    <t>santino.be@rodriguezs.com.ar</t>
  </si>
  <si>
    <t>+54 9 45 407-1732</t>
  </si>
  <si>
    <t>https://www.linkedin.com/in/santino-benjamin-tomàs-peralta-romero-50</t>
  </si>
  <si>
    <t>tomas.sant@coronelarg.com.ar</t>
  </si>
  <si>
    <t>+54 9 22 969-6620</t>
  </si>
  <si>
    <t>https://www.linkedin.com/in/tomas-santiago-martinez-castro-24</t>
  </si>
  <si>
    <t>dr(a)..mat@hernandezc.com.ar</t>
  </si>
  <si>
    <t>+54 9 66 793-3692</t>
  </si>
  <si>
    <t>https://www.linkedin.com/in/dr(a).-matilda-figueroa-92</t>
  </si>
  <si>
    <t>+54 9 275 278-3623</t>
  </si>
  <si>
    <t>https://www.linkedin.com/in/felipe-santiago-hernandez-vazquez-41</t>
  </si>
  <si>
    <t>alvaro.ver@barrioscor.com.ar</t>
  </si>
  <si>
    <t>+54 9 297 536-8570</t>
  </si>
  <si>
    <t>https://www.linkedin.com/in/alvaro-vera-52</t>
  </si>
  <si>
    <t>+54 9 218 744-4022</t>
  </si>
  <si>
    <t>https://www.linkedin.com/in/sr(a).-juan-ignacio-navarro-39</t>
  </si>
  <si>
    <t>+54 9 232 505-1478</t>
  </si>
  <si>
    <t>https://www.linkedin.com/in/renzo-alma-valentina-fernandez-33</t>
  </si>
  <si>
    <t>sofia.paz@fariassa.com.ar</t>
  </si>
  <si>
    <t>+54 9 112 560-8037</t>
  </si>
  <si>
    <t>https://www.linkedin.com/in/sofia-paz-88</t>
  </si>
  <si>
    <t>+54 9 13 821-4519</t>
  </si>
  <si>
    <t>https://www.linkedin.com/in/emma-felipe-diaz-59</t>
  </si>
  <si>
    <t>sr(a)..fed@maldonados.com.ar</t>
  </si>
  <si>
    <t>+54 9 153 870-2025</t>
  </si>
  <si>
    <t>https://www.linkedin.com/in/sr(a).-federico-sosa-36</t>
  </si>
  <si>
    <t>dr(a)..jua@gomezsrl.com.ar</t>
  </si>
  <si>
    <t>+54 9 63 918-9796</t>
  </si>
  <si>
    <t>https://www.linkedin.com/in/dr(a).-juan-cruz-ojeda-83</t>
  </si>
  <si>
    <t>+54 9 198 433-4228</t>
  </si>
  <si>
    <t>https://www.linkedin.com/in/francesca-ruiz-romero-33</t>
  </si>
  <si>
    <t>+54 9 69 368-9019</t>
  </si>
  <si>
    <t>https://www.linkedin.com/in/bastian-gonzalez-68</t>
  </si>
  <si>
    <t>+54 9 171 711-7367</t>
  </si>
  <si>
    <t>https://www.linkedin.com/in/dr(a).-santino-fernandez-77</t>
  </si>
  <si>
    <t>sr(a)..car@gonzalezsa.com.ar</t>
  </si>
  <si>
    <t>+54 9 211 701-2871</t>
  </si>
  <si>
    <t>https://www.linkedin.com/in/sr(a).-carmela-ortiz-88</t>
  </si>
  <si>
    <t>joaquina.e@vazquezsa.com.ar</t>
  </si>
  <si>
    <t>+54 9 191 965-8501</t>
  </si>
  <si>
    <t>https://www.linkedin.com/in/joaquina-emiliano-lucero-perez-54</t>
  </si>
  <si>
    <t>dr(a)..mar@maidanagro.com.ar</t>
  </si>
  <si>
    <t>+54 9 99 933-5873</t>
  </si>
  <si>
    <t>https://www.linkedin.com/in/dr(a).-martina-perez-89</t>
  </si>
  <si>
    <t>+54 9 54 788-3194</t>
  </si>
  <si>
    <t>https://www.linkedin.com/in/dr(a).-martina-paez-88</t>
  </si>
  <si>
    <t>Pereyra Ltda.</t>
  </si>
  <si>
    <t>cotac@acueductoscentro.com.ar</t>
  </si>
  <si>
    <t>+54 9 71 344-6003</t>
  </si>
  <si>
    <t>sebastian.@molinasas.com.ar</t>
  </si>
  <si>
    <t>+54 9 104 482-3316</t>
  </si>
  <si>
    <t>https://www.linkedin.com/in/sebastian-sofía-gomez-benitez-24</t>
  </si>
  <si>
    <t>+54 9 209 528-3258</t>
  </si>
  <si>
    <t>https://www.linkedin.com/in/sr(a).-carmela-ortiz-75</t>
  </si>
  <si>
    <t>+54 9 207 533-4043</t>
  </si>
  <si>
    <t>https://www.linkedin.com/in/sofia-paz-83</t>
  </si>
  <si>
    <t>pedro.thia@barriossrl.com.ar</t>
  </si>
  <si>
    <t>+54 9 286 810-3838</t>
  </si>
  <si>
    <t>https://www.linkedin.com/in/pedro-thiago-sosa-martinez-72</t>
  </si>
  <si>
    <t>constantin@molinasas.com.ar</t>
  </si>
  <si>
    <t>https://www.linkedin.com/in/constantino-santino-benjamin-guzman-perez-81</t>
  </si>
  <si>
    <t>+54 9 261 395-3298</t>
  </si>
  <si>
    <t>https://www.linkedin.com/in/ciro-pilar-rodriguez-martinez-31</t>
  </si>
  <si>
    <t>dr(a)..cla@herreraint.com.ar</t>
  </si>
  <si>
    <t>+54 9 172 962-8389</t>
  </si>
  <si>
    <t>https://www.linkedin.com/in/dr(a).-clara-rojas-33</t>
  </si>
  <si>
    <t>violeta.ru@mirandasrl.com.ar</t>
  </si>
  <si>
    <t>+54 9 38 986-6882</t>
  </si>
  <si>
    <t>https://www.linkedin.com/in/violeta-ruiz-martin-89</t>
  </si>
  <si>
    <t>sr(a)..ant@diazltda.com.ar</t>
  </si>
  <si>
    <t>+54 9 259 239-4196</t>
  </si>
  <si>
    <t>https://www.linkedin.com/in/sr(a).-antonella-ferreyra-11</t>
  </si>
  <si>
    <t>TOP 50 PROSPECTOS — FZ (Situación: Prospectando)</t>
  </si>
  <si>
    <t>Ordenado por probabilidad de contrato · Revenue · Industria · Engagement actual</t>
  </si>
  <si>
    <t>#</t>
  </si>
  <si>
    <t>REVENUE</t>
  </si>
  <si>
    <t>POR QUÉ RANKEA ACÁ</t>
  </si>
  <si>
    <t>ENGAGEMENT ACTUAL</t>
  </si>
  <si>
    <t>PRÓXIMO PASO</t>
  </si>
  <si>
    <t>Quiroga Argentina</t>
  </si>
  <si>
    <t>Córdoba</t>
  </si>
  <si>
    <t>1,000–5,000</t>
  </si>
  <si>
    <t>Bancos = contratos OEM masivos y presión regulatoria. 5 contactos mapeados: Director TI, Gte Sistemas, Head of Technical.</t>
  </si>
  <si>
    <t>En contacto.</t>
  </si>
  <si>
    <t>Llamada de seguimiento.</t>
  </si>
  <si>
    <t>listo</t>
  </si>
  <si>
    <t>Buenos Aires</t>
  </si>
  <si>
    <t>Multinacional</t>
  </si>
  <si>
    <t>Corp. global</t>
  </si>
  <si>
    <t>Multinacional con datacenter propio y equipo IT grande. Ya entraste por arriba del embudo con el CFO.</t>
  </si>
  <si>
    <t>10,000–100,000</t>
  </si>
  <si>
    <t>Planta industrial de esa escala = cientos de equipos. CFO refirió al IT Regional. Director Finanzas IC9.</t>
  </si>
  <si>
    <t>Revenue altísimo. Industria alimentaria = infraestructura IT/OT crítica. Compras es puerta de entrada a IT.</t>
  </si>
  <si>
    <t>buscar datos</t>
  </si>
  <si>
    <t>N/D</t>
  </si>
  <si>
    <t>5,000–10,000</t>
  </si>
  <si>
    <t>Prepaga nacional = servidores propios, equipos críticos 24/7. Líder de Infraestructura IT mapeado.</t>
  </si>
  <si>
    <t>no prospectar</t>
  </si>
  <si>
    <t>Petroleo/Gas</t>
  </si>
  <si>
    <t>Subsidiaria de Techint. Operaciones críticas con hardware que nadie puede parar.</t>
  </si>
  <si>
    <t>agregar mas prospectos</t>
  </si>
  <si>
    <t>Salud/Pharma</t>
  </si>
  <si>
    <t>Global: 10,000+</t>
  </si>
  <si>
    <t>Farmacéutica multinacional. Equipos regulados = no pueden operar sin soporte vigente.</t>
  </si>
  <si>
    <t>Neuquén</t>
  </si>
  <si>
    <t>Oil &amp; gas en Neuquén = infraestructura crítica en campo. Manager IT y Coordinador Compras contactados.</t>
  </si>
  <si>
    <t>Revenue enorme para un service provider cordobés. Probablemente tienen infraestructura propia importante.</t>
  </si>
  <si>
    <t>respondio, en call con compras</t>
  </si>
  <si>
    <t>500–1,000</t>
  </si>
  <si>
    <t>Concesionaria de gas. Equipos SCADA y servidores de operación crítica en tu provincia.</t>
  </si>
  <si>
    <t>BPO/contact center con infraestructura propia masiva: servidores, switches y storage para call center.</t>
  </si>
  <si>
    <t>Dominguez Argentina</t>
  </si>
  <si>
    <t>Ingeniería ligada al oil &amp; gas. Gte Proyectos prometió referir al IT. OP Leader en IC7.</t>
  </si>
  <si>
    <t>Construcción/Oil</t>
  </si>
  <si>
    <t>Operadora en Vaca Muerta. Hardware industrial en condiciones extremas = garantías vencen rápido.</t>
  </si>
  <si>
    <t>Grupo de concesionarias grande. Manejan ERP, servidores para inventario y financiamiento.</t>
  </si>
  <si>
    <t>50–200</t>
  </si>
  <si>
    <t>Revenue enorme para pocos empleados → posible MSP o holding. Puede ser cliente y canal.</t>
  </si>
  <si>
    <t>El referido interno de finanzas a sistemas ya ocurrió. Falta el contacto IT que lo recibió.</t>
  </si>
  <si>
    <t>Río Negro</t>
  </si>
  <si>
    <t>Empacadora industrial. Infraestructura de frío + IT de planta. Jefe regresa en abril.</t>
  </si>
  <si>
    <t>Tucumán</t>
  </si>
  <si>
    <t>Jefe de Tecnología ya respondió y nos conocía. Planta citrícola con infraestructura IT y OT.</t>
  </si>
  <si>
    <t>Minería</t>
  </si>
  <si>
    <t>Minera aurífera en operación. Equipos en condiciones extremas lejos del soporte OEM.</t>
  </si>
  <si>
    <t>200–500</t>
  </si>
  <si>
    <t>Revenue bajo pero el decisor IT ya respondió. Ciclo de venta más corto. Señal fuerte.</t>
  </si>
  <si>
    <t>Revenue 1B-10B en construcción = obra grande y sostenida. Probablemente ligada a oil &amp; gas o infraestructura pública.</t>
  </si>
  <si>
    <t>Petroleo/Minería</t>
  </si>
  <si>
    <t>Revenue enorme para la dotación declarada → operación altamente automatizada. Head of Purchasing contactado.</t>
  </si>
  <si>
    <t>Concesionaria de agua. Infraestructura crítica de SCADA y servidores de operación 24/7. Territorio directo.</t>
  </si>
  <si>
    <t>Peralta S.R.L.</t>
  </si>
  <si>
    <t>Gobierno/Energía</t>
  </si>
  <si>
    <t>Empresa de energía provincial. Infraestructura IT crítica para distribución eléctrica. Sonia volvió de licencia.</t>
  </si>
  <si>
    <t>Alvarez S.A.</t>
  </si>
  <si>
    <t>Mayor empleador de Córdoba. Subsecretario de Infraestructura (Luciano Rizzetti) está interesado y quiere reunión presencial.</t>
  </si>
  <si>
    <t>Mansilla Group</t>
  </si>
  <si>
    <t>Empresa de seguridad física + IT. Revenue sólido y escala de empleados importante. IT Manager contactado.</t>
  </si>
  <si>
    <t>Castro Corp</t>
  </si>
  <si>
    <t>Destilería de alcohol y bebidas. Planta industrial con automatización = infraestructura IT/OT considerable.</t>
  </si>
  <si>
    <t>Manufactura/Aeronáutica</t>
  </si>
  <si>
    <t>Fábrica Argentina de Aviones. Infraestructura aeronáutica = equipos certificados, sin posibilidad de downtime.</t>
  </si>
  <si>
    <t>Transporte/Logística</t>
  </si>
  <si>
    <t>Empresa de transporte de larga distancia. Servidores de gestión de flota, reservas y logística.</t>
  </si>
  <si>
    <t>Cooperativa tabacalera de escala regional. Planta de procesamiento = infraestructura industrial + IT.</t>
  </si>
  <si>
    <t>Gte IT aceptó call y pidió info al mail. Señal de interés activa.</t>
  </si>
  <si>
    <t>Olivera S.A.</t>
  </si>
  <si>
    <t>Farmacéutica. Equipos validados por ANMAT = no pueden cambiar de soporte sin auditoría. Referido al TL IT.</t>
  </si>
  <si>
    <t>Manufactura/Citrícola</t>
  </si>
  <si>
    <t>Productora citrícola grande. Gerente IT ya pidió info al mail. Contacto abierto.</t>
  </si>
  <si>
    <t>IT tercerizado = posible cambio de proveedor. Compras reveló la situación. Jefe de Operaciones Jeremias activo.</t>
  </si>
  <si>
    <t>Manufactura/Tecnología</t>
  </si>
  <si>
    <t>Empresa cordobesa con operaciones en BsAs. César (encargado IT) de vacaciones, mail a sistemas enviado.</t>
  </si>
  <si>
    <t>Moreno Group</t>
  </si>
  <si>
    <t>Manufactura/Agro</t>
  </si>
  <si>
    <t>Cooperativa tambera grande. Jefe IT Felissia Alberto pidió brochure para ver si les sirve a corto plazo.</t>
  </si>
  <si>
    <t>Minería/Litio</t>
  </si>
  <si>
    <t>Empresa de litio en el NOA. Operaciones en zona remota = soporte OEM imposible. Muy buen ángulo.</t>
  </si>
  <si>
    <t>Service Provider/Seguros</t>
  </si>
  <si>
    <t>Aseguradora regional. Core insurance en servidores propios = infraestructura crítica que no puede fallar.</t>
  </si>
  <si>
    <t>Banco/financiero. Hay un prospecto previo trabajado. Banca = hardware legacy y presión de costos.</t>
  </si>
  <si>
    <t>Retail/Automotriz</t>
  </si>
  <si>
    <t>Concesionaria multimarca. Equipo técnico propio pero pidió info al mail para analizar = puerta abierta.</t>
  </si>
  <si>
    <t>1,000-5,000 empleados en manufactura = infraestructura IT considerable. CTO Leandro contactado.</t>
  </si>
  <si>
    <t>Empresa de salud. Head of IT Alejandro Vicentini preguntó si tenemos sede en Río Cuarto = interés real.</t>
  </si>
  <si>
    <t>Consultora de energía. Admin Infra IT contactado = decisor técnico mapeado.</t>
  </si>
  <si>
    <t>Salud/Medtech</t>
  </si>
  <si>
    <t>Empresa de dispositivos médicos. Equipos regulados, no pueden perder soporte. Sin contacto.</t>
  </si>
  <si>
    <t>Sanatorio. Infraestructura hospitalaria crítica = servidores HIS, imágenes médicas. Dos contactos clavan el visto.</t>
  </si>
  <si>
    <t>Sanatorio. Mismo perfil que Sanatorio Americano. Infraestructura hospitalaria con equipos críticos.</t>
  </si>
  <si>
    <t>Grupo de empresas. Pablo di Pietro (Jefe IT) contactado. Buena oportunidad grupal = múltiples contratos.</t>
  </si>
  <si>
    <t>Empresa de transporte. Mails enviados. 500-1,000 empleados = operación logística con infraestructura IT.</t>
  </si>
  <si>
    <t>Empresa de plásticos/manufactura. Pidió info al mail del equipo de sistemas. Señal de interés.</t>
  </si>
  <si>
    <t>Manufactura/Petroquímica</t>
  </si>
  <si>
    <t>Entre Ríos</t>
  </si>
  <si>
    <t>Empresa petroquímica. CTO Mateo Perez contactado IC2 y aceptó. Están en pleno deploy.</t>
  </si>
  <si>
    <t>Goverment</t>
  </si>
  <si>
    <t>Manufacture</t>
  </si>
  <si>
    <t>Education</t>
  </si>
  <si>
    <t>Health</t>
  </si>
  <si>
    <t>Entertainment</t>
  </si>
  <si>
    <t>Energy</t>
  </si>
  <si>
    <t>Oil_Gas_Mining</t>
  </si>
  <si>
    <t>Construction</t>
  </si>
  <si>
    <t>Automotive</t>
  </si>
  <si>
    <t>Transport_Logistics</t>
  </si>
  <si>
    <t>Banking</t>
  </si>
  <si>
    <t>Technology</t>
  </si>
  <si>
    <t>Competition</t>
  </si>
  <si>
    <t>Quoted</t>
  </si>
  <si>
    <t>Not Interested</t>
  </si>
  <si>
    <t>Prospecting</t>
  </si>
  <si>
    <t>Meeting Scheduled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</si>
</sst>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€&quot;_-;\-* #,##0.00\ &quot;€&quot;_-;_-* &quot;-&quot;??\ &quot;€&quot;_-;_-@_-"/>
    <numFmt numFmtId="165" formatCode="[$$-409]#,##0.00"/>
    <numFmt numFmtId="166" formatCode="[$$-409]#,##0"/>
  </numFmts>
  <fonts count="4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scheme val="minor"/>
    </font>
    <font>
      <u/>
      <sz val="10"/>
      <color theme="10"/>
      <name val="Aptos Narrow"/>
      <scheme val="minor"/>
    </font>
    <font>
      <sz val="10"/>
      <color theme="10"/>
      <name val="Aptos Narrow"/>
      <scheme val="minor"/>
    </font>
    <font>
      <sz val="10"/>
      <color theme="1"/>
      <name val="Aptos Display"/>
      <scheme val="major"/>
    </font>
    <font>
      <sz val="10"/>
      <color rgb="FF000000"/>
      <name val="Aptos Narrow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</font>
    <font>
      <sz val="12"/>
      <color rgb="FF151417"/>
      <name val="Circular"/>
      <charset val="1"/>
    </font>
    <font>
      <sz val="13.5"/>
      <color rgb="FF000000"/>
      <name val="Times New Roman"/>
      <charset val="1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b/>
      <sz val="10"/>
      <color theme="0"/>
      <name val="Aptos Display"/>
      <scheme val="major"/>
    </font>
    <font>
      <sz val="10"/>
      <color theme="1"/>
      <name val="Aptos Narrow"/>
      <family val="2"/>
      <scheme val="minor"/>
    </font>
    <font>
      <b/>
      <sz val="16"/>
      <color theme="0"/>
      <name val="Poppins"/>
    </font>
    <font>
      <sz val="16"/>
      <color theme="1"/>
      <name val="Poppins"/>
    </font>
    <font>
      <sz val="16"/>
      <color rgb="FF000000"/>
      <name val="Poppins"/>
    </font>
    <font>
      <sz val="10"/>
      <color rgb="FF151417"/>
      <name val="Aptos Narrow"/>
      <scheme val="minor"/>
    </font>
    <font>
      <sz val="11"/>
      <color rgb="FF242424"/>
      <name val="Aptos Narrow"/>
      <charset val="1"/>
    </font>
    <font>
      <sz val="11"/>
      <color rgb="FFFF0000"/>
      <name val="Aptos Narrow"/>
      <family val="2"/>
      <scheme val="minor"/>
    </font>
    <font>
      <sz val="11"/>
      <color theme="1"/>
      <name val="System-Ui"/>
      <charset val="1"/>
    </font>
    <font>
      <b/>
      <sz val="12"/>
      <color theme="1"/>
      <name val="Arial Rounded MT Bold"/>
    </font>
    <font>
      <sz val="10"/>
      <color rgb="FF181818"/>
      <name val="-Apple-System"/>
      <charset val="1"/>
    </font>
    <font>
      <b/>
      <sz val="12"/>
      <color theme="1"/>
      <name val="Arial Nova"/>
    </font>
    <font>
      <sz val="11"/>
      <color theme="1"/>
      <name val="Aptos Display"/>
    </font>
    <font>
      <sz val="11"/>
      <color rgb="FF181818"/>
      <name val="Aptos Display"/>
    </font>
    <font>
      <sz val="11"/>
      <color rgb="FF002060"/>
      <name val="Aptos Narrow"/>
      <scheme val="minor"/>
    </font>
    <font>
      <b/>
      <sz val="11"/>
      <color rgb="FFFFFFFF"/>
      <name val="Arial"/>
      <charset val="134"/>
    </font>
    <font>
      <i/>
      <sz val="11"/>
      <color rgb="FF5F5E5A"/>
      <name val="Arial"/>
      <charset val="134"/>
    </font>
    <font>
      <b/>
      <sz val="11"/>
      <color rgb="FF1D9E75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b/>
      <sz val="11"/>
      <color rgb="FF0F6E56"/>
      <name val="Arial"/>
      <charset val="134"/>
    </font>
    <font>
      <b/>
      <sz val="11"/>
      <color rgb="FF854F0B"/>
      <name val="Arial"/>
      <charset val="134"/>
    </font>
    <font>
      <b/>
      <sz val="11"/>
      <color rgb="FF5F5E5A"/>
      <name val="Arial"/>
      <charset val="134"/>
    </font>
  </fonts>
  <fills count="2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4F5"/>
        <bgColor rgb="FFC0E4F5"/>
      </patternFill>
    </fill>
    <fill>
      <patternFill patternType="solid">
        <fgColor rgb="FF92D050"/>
        <bgColor indexed="64"/>
      </patternFill>
    </fill>
    <fill>
      <patternFill patternType="solid">
        <fgColor rgb="FFC9E7F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8E7F5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1D9E75"/>
        <bgColor indexed="64"/>
      </patternFill>
    </fill>
    <fill>
      <patternFill patternType="solid">
        <fgColor rgb="FFE1F5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6"/>
        <bgColor indexed="64"/>
      </patternFill>
    </fill>
    <fill>
      <patternFill patternType="solid">
        <fgColor rgb="FFFAEEDA"/>
        <bgColor indexed="64"/>
      </patternFill>
    </fill>
    <fill>
      <patternFill patternType="solid">
        <fgColor rgb="FFF1EFE8"/>
        <bgColor indexed="64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rgb="FF43AEE2"/>
      </top>
      <bottom style="thin">
        <color rgb="FF43AEE2"/>
      </bottom>
      <diagonal/>
    </border>
    <border>
      <left/>
      <right/>
      <top style="thin">
        <color rgb="FF43AEE2"/>
      </top>
      <bottom style="thin">
        <color rgb="FF43AEE2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F6E56"/>
      </bottom>
      <diagonal/>
    </border>
    <border>
      <left/>
      <right/>
      <top/>
      <bottom style="thin">
        <color rgb="FFD3D1C7"/>
      </bottom>
      <diagonal/>
    </border>
    <border>
      <left/>
      <right/>
      <top/>
      <bottom style="medium">
        <color rgb="FF1D9E75"/>
      </bottom>
      <diagonal/>
    </border>
  </borders>
  <cellStyleXfs count="3">
    <xf numFmtId="0" fontId="0" fillId="0" borderId="0"/>
    <xf numFmtId="0" fontId="2" fillId="0" borderId="0"/>
    <xf numFmtId="0" fontId="1" fillId="13" borderId="0"/>
  </cellStyleXfs>
  <cellXfs count="137">
    <xf numFmtId="0" fontId="0" fillId="0" borderId="0" xfId="0"/>
    <xf numFmtId="0" fontId="0" fillId="0" borderId="0" xfId="0" pivotButton="1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" fillId="0" borderId="0" xfId="1"/>
    <xf numFmtId="0" fontId="2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0" borderId="0" xfId="0" applyFont="1"/>
    <xf numFmtId="0" fontId="16" fillId="2" borderId="7" xfId="0" applyFont="1" applyFill="1" applyBorder="1"/>
    <xf numFmtId="0" fontId="0" fillId="3" borderId="8" xfId="0" applyFill="1" applyBorder="1"/>
    <xf numFmtId="0" fontId="0" fillId="0" borderId="8" xfId="0" applyBorder="1"/>
    <xf numFmtId="0" fontId="0" fillId="3" borderId="9" xfId="0" applyFill="1" applyBorder="1"/>
    <xf numFmtId="0" fontId="0" fillId="0" borderId="9" xfId="0" applyBorder="1"/>
    <xf numFmtId="0" fontId="17" fillId="4" borderId="10" xfId="0" applyFont="1" applyFill="1" applyBorder="1"/>
    <xf numFmtId="0" fontId="17" fillId="4" borderId="11" xfId="0" applyFont="1" applyFill="1" applyBorder="1"/>
    <xf numFmtId="0" fontId="17" fillId="0" borderId="10" xfId="0" applyFont="1" applyBorder="1"/>
    <xf numFmtId="0" fontId="17" fillId="0" borderId="11" xfId="0" applyFont="1" applyBorder="1"/>
    <xf numFmtId="0" fontId="19" fillId="3" borderId="9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6" borderId="7" xfId="0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left" vertical="top" wrapText="1"/>
    </xf>
    <xf numFmtId="0" fontId="21" fillId="6" borderId="7" xfId="0" applyFont="1" applyFill="1" applyBorder="1" applyAlignment="1">
      <alignment horizontal="left" vertical="top"/>
    </xf>
    <xf numFmtId="0" fontId="23" fillId="0" borderId="0" xfId="0" applyFont="1"/>
    <xf numFmtId="0" fontId="14" fillId="0" borderId="0" xfId="0" applyFont="1" applyAlignment="1">
      <alignment horizontal="center" vertical="center" wrapText="1"/>
    </xf>
    <xf numFmtId="0" fontId="14" fillId="0" borderId="0" xfId="0" applyFont="1"/>
    <xf numFmtId="0" fontId="14" fillId="0" borderId="0" xfId="0" applyFont="1" applyAlignment="1">
      <alignment wrapText="1"/>
    </xf>
    <xf numFmtId="0" fontId="2" fillId="0" borderId="0" xfId="1" applyAlignment="1">
      <alignment wrapText="1"/>
    </xf>
    <xf numFmtId="0" fontId="24" fillId="0" borderId="0" xfId="0" applyFont="1"/>
    <xf numFmtId="0" fontId="0" fillId="3" borderId="9" xfId="0" applyFill="1" applyBorder="1" applyAlignment="1">
      <alignment vertical="center" wrapText="1"/>
    </xf>
    <xf numFmtId="165" fontId="0" fillId="0" borderId="0" xfId="0" applyNumberFormat="1"/>
    <xf numFmtId="166" fontId="0" fillId="0" borderId="0" xfId="0" applyNumberFormat="1"/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0" fillId="7" borderId="0" xfId="0" applyFill="1"/>
    <xf numFmtId="0" fontId="17" fillId="0" borderId="0" xfId="0" applyFont="1" applyAlignment="1">
      <alignment horizontal="center" vertical="center" wrapText="1"/>
    </xf>
    <xf numFmtId="0" fontId="17" fillId="0" borderId="0" xfId="0" quotePrefix="1" applyFont="1" applyAlignment="1">
      <alignment horizontal="center" vertical="center" wrapText="1"/>
    </xf>
    <xf numFmtId="0" fontId="0" fillId="0" borderId="0" xfId="0" applyAlignment="1">
      <alignment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5" fillId="0" borderId="0" xfId="0" applyFont="1"/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16" fontId="0" fillId="0" borderId="0" xfId="0" applyNumberFormat="1" applyAlignment="1">
      <alignment horizontal="center" vertical="center" wrapText="1"/>
    </xf>
    <xf numFmtId="0" fontId="2" fillId="7" borderId="0" xfId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26" fillId="0" borderId="0" xfId="0" applyFont="1"/>
    <xf numFmtId="3" fontId="0" fillId="0" borderId="0" xfId="0" applyNumberFormat="1"/>
    <xf numFmtId="0" fontId="27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13" fillId="0" borderId="0" xfId="0" quotePrefix="1" applyFont="1" applyAlignment="1">
      <alignment wrapText="1"/>
    </xf>
    <xf numFmtId="0" fontId="14" fillId="7" borderId="0" xfId="0" applyFont="1" applyFill="1"/>
    <xf numFmtId="0" fontId="28" fillId="0" borderId="0" xfId="0" applyFont="1"/>
    <xf numFmtId="0" fontId="0" fillId="9" borderId="0" xfId="0" applyFill="1" applyAlignment="1">
      <alignment horizontal="center" vertical="center"/>
    </xf>
    <xf numFmtId="0" fontId="2" fillId="9" borderId="0" xfId="1" applyFill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29" fillId="11" borderId="0" xfId="0" applyFont="1" applyFill="1" applyAlignment="1">
      <alignment horizontal="center" vertical="center"/>
    </xf>
    <xf numFmtId="0" fontId="29" fillId="12" borderId="0" xfId="0" applyFont="1" applyFill="1" applyAlignment="1">
      <alignment horizontal="center" vertical="center"/>
    </xf>
    <xf numFmtId="0" fontId="0" fillId="0" borderId="14" xfId="0" applyBorder="1"/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 wrapText="1"/>
    </xf>
    <xf numFmtId="0" fontId="30" fillId="0" borderId="14" xfId="0" applyFont="1" applyBorder="1"/>
    <xf numFmtId="0" fontId="30" fillId="0" borderId="7" xfId="0" applyFont="1" applyBorder="1" applyAlignment="1">
      <alignment horizontal="center" vertical="center"/>
    </xf>
    <xf numFmtId="0" fontId="30" fillId="9" borderId="2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0" fillId="0" borderId="2" xfId="0" applyFont="1" applyBorder="1"/>
    <xf numFmtId="0" fontId="30" fillId="0" borderId="7" xfId="0" applyFont="1" applyBorder="1" applyAlignment="1">
      <alignment horizontal="center"/>
    </xf>
    <xf numFmtId="0" fontId="30" fillId="0" borderId="7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0" fillId="0" borderId="5" xfId="0" applyFont="1" applyBorder="1"/>
    <xf numFmtId="0" fontId="0" fillId="0" borderId="15" xfId="0" applyBorder="1" applyAlignment="1">
      <alignment horizontal="center" vertical="center"/>
    </xf>
    <xf numFmtId="0" fontId="32" fillId="14" borderId="7" xfId="2" applyFont="1" applyFill="1" applyBorder="1" applyAlignment="1">
      <alignment horizontal="center" vertical="center"/>
    </xf>
    <xf numFmtId="0" fontId="32" fillId="13" borderId="7" xfId="2" applyFont="1" applyBorder="1" applyAlignment="1">
      <alignment horizontal="center" vertical="center"/>
    </xf>
    <xf numFmtId="0" fontId="3" fillId="0" borderId="7" xfId="0" applyFont="1" applyBorder="1"/>
    <xf numFmtId="0" fontId="0" fillId="0" borderId="7" xfId="0" applyBorder="1"/>
    <xf numFmtId="0" fontId="28" fillId="0" borderId="7" xfId="0" applyFont="1" applyBorder="1"/>
    <xf numFmtId="0" fontId="0" fillId="0" borderId="15" xfId="0" applyBorder="1" applyAlignment="1">
      <alignment horizontal="center"/>
    </xf>
    <xf numFmtId="0" fontId="0" fillId="0" borderId="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7" xfId="0" applyBorder="1" applyAlignment="1">
      <alignment horizontal="center"/>
    </xf>
    <xf numFmtId="0" fontId="33" fillId="15" borderId="16" xfId="0" applyFont="1" applyFill="1" applyBorder="1" applyAlignment="1">
      <alignment wrapText="1"/>
    </xf>
    <xf numFmtId="0" fontId="35" fillId="17" borderId="17" xfId="0" applyFont="1" applyFill="1" applyBorder="1" applyAlignment="1">
      <alignment wrapText="1"/>
    </xf>
    <xf numFmtId="0" fontId="36" fillId="17" borderId="17" xfId="0" applyFont="1" applyFill="1" applyBorder="1" applyAlignment="1">
      <alignment wrapText="1"/>
    </xf>
    <xf numFmtId="0" fontId="37" fillId="17" borderId="17" xfId="0" applyFont="1" applyFill="1" applyBorder="1" applyAlignment="1">
      <alignment wrapText="1"/>
    </xf>
    <xf numFmtId="0" fontId="38" fillId="16" borderId="17" xfId="0" applyFont="1" applyFill="1" applyBorder="1" applyAlignment="1">
      <alignment wrapText="1"/>
    </xf>
    <xf numFmtId="0" fontId="35" fillId="18" borderId="17" xfId="0" applyFont="1" applyFill="1" applyBorder="1" applyAlignment="1">
      <alignment wrapText="1"/>
    </xf>
    <xf numFmtId="0" fontId="36" fillId="18" borderId="17" xfId="0" applyFont="1" applyFill="1" applyBorder="1" applyAlignment="1">
      <alignment wrapText="1"/>
    </xf>
    <xf numFmtId="0" fontId="37" fillId="18" borderId="17" xfId="0" applyFont="1" applyFill="1" applyBorder="1" applyAlignment="1">
      <alignment wrapText="1"/>
    </xf>
    <xf numFmtId="0" fontId="39" fillId="19" borderId="17" xfId="0" applyFont="1" applyFill="1" applyBorder="1" applyAlignment="1">
      <alignment wrapText="1"/>
    </xf>
    <xf numFmtId="0" fontId="40" fillId="20" borderId="17" xfId="0" applyFont="1" applyFill="1" applyBorder="1" applyAlignment="1">
      <alignment wrapText="1"/>
    </xf>
    <xf numFmtId="0" fontId="35" fillId="18" borderId="18" xfId="0" applyFont="1" applyFill="1" applyBorder="1" applyAlignment="1">
      <alignment wrapText="1"/>
    </xf>
    <xf numFmtId="0" fontId="36" fillId="18" borderId="18" xfId="0" applyFont="1" applyFill="1" applyBorder="1" applyAlignment="1">
      <alignment wrapText="1"/>
    </xf>
    <xf numFmtId="0" fontId="37" fillId="18" borderId="18" xfId="0" applyFont="1" applyFill="1" applyBorder="1" applyAlignment="1">
      <alignment wrapText="1"/>
    </xf>
    <xf numFmtId="0" fontId="39" fillId="19" borderId="18" xfId="0" applyFont="1" applyFill="1" applyBorder="1" applyAlignment="1">
      <alignment wrapText="1"/>
    </xf>
    <xf numFmtId="0" fontId="40" fillId="20" borderId="18" xfId="0" applyFont="1" applyFill="1" applyBorder="1" applyAlignment="1">
      <alignment wrapText="1"/>
    </xf>
    <xf numFmtId="0" fontId="19" fillId="0" borderId="0" xfId="0" applyFont="1" applyAlignment="1">
      <alignment horizontal="left" vertical="center" wrapText="1"/>
    </xf>
    <xf numFmtId="0" fontId="20" fillId="5" borderId="7" xfId="0" applyFont="1" applyFill="1" applyBorder="1" applyAlignment="1">
      <alignment horizontal="center" vertical="center"/>
    </xf>
    <xf numFmtId="0" fontId="0" fillId="0" borderId="1" xfId="0" applyBorder="1"/>
    <xf numFmtId="0" fontId="10" fillId="0" borderId="0" xfId="0" applyFont="1" applyAlignment="1">
      <alignment horizontal="center" vertical="center" wrapText="1"/>
    </xf>
    <xf numFmtId="0" fontId="0" fillId="0" borderId="0" xfId="0"/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33" fillId="15" borderId="0" xfId="0" applyFont="1" applyFill="1"/>
    <xf numFmtId="0" fontId="34" fillId="16" borderId="0" xfId="0" applyFont="1" applyFill="1"/>
  </cellXfs>
  <cellStyles count="3">
    <cellStyle name="40% - Accent3" xfId="2" builtinId="39"/>
    <cellStyle name="Hyperlink" xfId="1" xr:uid="{00000000-0005-0000-0000-000001000000}"/>
    <cellStyle name="Normal" xfId="0" builtinId="0"/>
  </cellStyles>
  <dxfs count="81">
    <dxf>
      <font>
        <color rgb="FF006100"/>
      </font>
      <fill>
        <patternFill>
          <bgColor rgb="FFC6EFCE"/>
        </patternFill>
      </fill>
    </dxf>
    <dxf>
      <font>
        <b/>
        <color theme="0"/>
      </font>
      <fill>
        <patternFill patternType="solid">
          <bgColor rgb="FF92D050"/>
        </patternFill>
      </fill>
    </dxf>
    <dxf>
      <fill>
        <patternFill>
          <bgColor rgb="FFFFC7CE"/>
        </patternFill>
      </fill>
    </dxf>
    <dxf>
      <alignment horizontal="center" vertical="center" wrapText="1"/>
    </dxf>
    <dxf>
      <alignment wrapText="1"/>
    </dxf>
    <dxf>
      <alignment horizontal="center" vertical="center" wrapText="1"/>
    </dxf>
    <dxf>
      <alignment horizontal="center" vertical="center" wrapText="1"/>
    </dxf>
    <dxf>
      <alignment horizontal="center" vertical="center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wrapText="1"/>
    </dxf>
    <dxf>
      <alignment horizontal="center" vertical="center"/>
    </dxf>
    <dxf>
      <alignment horizontal="center" vertical="center" wrapText="1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rial Rounded MT Bold"/>
      </font>
      <alignment horizontal="center" vertical="center" wrapText="1"/>
    </dxf>
    <dxf>
      <numFmt numFmtId="165" formatCode="[$$-409]#,##0.00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65" formatCode="[$$-409]#,##0.0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sz val="12"/>
      </font>
    </dxf>
    <dxf>
      <font>
        <b/>
      </font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/>
        <bottom/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general" vertical="bottom"/>
    </dxf>
    <dxf>
      <alignment horizontal="center" vertical="center" wrapText="1"/>
    </dxf>
    <dxf>
      <alignment horizontal="center" vertical="center" wrapText="1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 wrapText="1"/>
    </dxf>
    <dxf>
      <alignment horizontal="center" vertical="center" wrapText="1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sz val="10"/>
        <name val="Aptos Narrow"/>
        <scheme val="minor"/>
      </font>
      <alignment horizontal="left" vertical="center" wrapText="1" relativeIndent="-1"/>
    </dxf>
    <dxf>
      <font>
        <sz val="10"/>
        <name val="Aptos Narrow"/>
        <scheme val="minor"/>
      </font>
      <alignment horizontal="left" vertical="center" wrapText="1" relativeIndent="-1"/>
    </dxf>
    <dxf>
      <font>
        <sz val="10"/>
        <name val="Aptos Narrow"/>
        <scheme val="minor"/>
      </font>
      <alignment horizontal="left" vertical="center" wrapText="1" relativeIndent="-1"/>
    </dxf>
    <dxf>
      <font>
        <sz val="10"/>
        <name val="Aptos Narrow"/>
        <scheme val="minor"/>
      </font>
      <alignment horizontal="left" vertical="center" wrapText="1"/>
    </dxf>
    <dxf>
      <font>
        <sz val="10"/>
        <name val="Aptos Narrow"/>
        <scheme val="minor"/>
      </font>
      <alignment horizontal="center" vertical="center" wrapText="1" relativeIndent="-1"/>
    </dxf>
    <dxf>
      <font>
        <sz val="10"/>
        <name val="Aptos Narrow"/>
        <scheme val="minor"/>
      </font>
      <alignment horizontal="left" vertical="center" wrapText="1" relativeIndent="-1"/>
    </dxf>
    <dxf>
      <font>
        <sz val="10"/>
        <name val="Aptos Narrow"/>
        <scheme val="minor"/>
      </font>
      <alignment horizontal="left" vertical="center" wrapText="1" relativeIndent="-1"/>
    </dxf>
    <dxf>
      <font>
        <sz val="10"/>
        <name val="Aptos Narrow"/>
        <scheme val="minor"/>
      </font>
      <alignment horizontal="left" vertical="center" wrapText="1" relativeIndent="-1"/>
    </dxf>
    <dxf>
      <font>
        <sz val="10"/>
        <name val="Aptos Narrow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Aptos Narrow"/>
        <scheme val="minor"/>
      </font>
      <alignment horizontal="left" vertical="center" wrapText="1"/>
    </dxf>
    <dxf>
      <font>
        <sz val="10"/>
        <name val="Aptos Narrow"/>
        <scheme val="minor"/>
      </font>
      <alignment horizontal="left" vertical="center" wrapText="1"/>
    </dxf>
    <dxf>
      <font>
        <sz val="10"/>
        <name val="Aptos Narrow"/>
        <scheme val="minor"/>
      </font>
      <alignment horizontal="left" vertical="center" wrapText="1" relativeIndent="-1"/>
    </dxf>
    <dxf>
      <font>
        <sz val="10"/>
        <name val="Aptos Narrow"/>
        <scheme val="minor"/>
      </font>
      <alignment horizontal="left" vertical="center" wrapText="1" relativeIndent="-1"/>
    </dxf>
    <dxf>
      <font>
        <sz val="10"/>
        <name val="Aptos Narrow"/>
        <scheme val="minor"/>
      </font>
      <alignment horizontal="left" vertical="center" wrapText="1" relativeIndent="-1"/>
    </dxf>
    <dxf>
      <font>
        <sz val="10"/>
        <name val="Aptos Narrow"/>
        <scheme val="minor"/>
      </font>
      <alignment horizontal="left" vertical="center" wrapText="1" relativeIndent="-1"/>
    </dxf>
    <dxf>
      <font>
        <sz val="10"/>
        <name val="Aptos Narrow"/>
        <scheme val="minor"/>
      </font>
      <alignment horizontal="left" vertical="center" wrapText="1" relativeIndent="-1"/>
    </dxf>
    <dxf>
      <font>
        <sz val="10"/>
        <name val="Aptos Display"/>
        <scheme val="major"/>
      </font>
      <alignment horizontal="left" vertical="center" wrapText="1" relativeIndent="-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  <a:prstDash val="solid"/>
            </a:ln>
          </c:spPr>
          <c:invertIfNegative val="0"/>
          <c:val>
            <c:numRef>
              <c:f>'EMPRESAS X INDUSTRIA'!$Q$46:$Q$59</c:f>
              <c:numCache>
                <c:formatCode>General</c:formatCode>
                <c:ptCount val="14"/>
                <c:pt idx="0">
                  <c:v>5</c:v>
                </c:pt>
                <c:pt idx="1">
                  <c:v>9</c:v>
                </c:pt>
                <c:pt idx="2">
                  <c:v>12</c:v>
                </c:pt>
                <c:pt idx="3">
                  <c:v>10</c:v>
                </c:pt>
                <c:pt idx="4">
                  <c:v>6</c:v>
                </c:pt>
                <c:pt idx="5">
                  <c:v>10</c:v>
                </c:pt>
                <c:pt idx="6">
                  <c:v>30</c:v>
                </c:pt>
                <c:pt idx="7">
                  <c:v>61</c:v>
                </c:pt>
                <c:pt idx="8">
                  <c:v>20</c:v>
                </c:pt>
                <c:pt idx="9">
                  <c:v>7</c:v>
                </c:pt>
                <c:pt idx="10">
                  <c:v>28</c:v>
                </c:pt>
                <c:pt idx="11">
                  <c:v>31</c:v>
                </c:pt>
                <c:pt idx="12">
                  <c:v>12</c:v>
                </c:pt>
                <c:pt idx="1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5-4500-BB6C-8D2E08461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7003016"/>
        <c:axId val="206857224"/>
      </c:barChart>
      <c:catAx>
        <c:axId val="1977003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57224"/>
        <c:crosses val="autoZero"/>
        <c:auto val="1"/>
        <c:lblAlgn val="ctr"/>
        <c:lblOffset val="100"/>
        <c:noMultiLvlLbl val="0"/>
      </c:catAx>
      <c:valAx>
        <c:axId val="206857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003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 DE EMPLEADOS POR INDUSTRIA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rgbClr val="637CEF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('EMPRESAS X INDUSTRIA'!$P$46:$P$60,'EMPRESAS X INDUSTRIA'!$R$46:$R$60)</c:f>
              <c:strCache>
                <c:ptCount val="29"/>
                <c:pt idx="0">
                  <c:v>Automotriz</c:v>
                </c:pt>
                <c:pt idx="1">
                  <c:v>Banca</c:v>
                </c:pt>
                <c:pt idx="2">
                  <c:v>Construccion</c:v>
                </c:pt>
                <c:pt idx="3">
                  <c:v>Educación</c:v>
                </c:pt>
                <c:pt idx="4">
                  <c:v>Energia</c:v>
                </c:pt>
                <c:pt idx="5">
                  <c:v>Entretenimiento</c:v>
                </c:pt>
                <c:pt idx="6">
                  <c:v>Gobierno</c:v>
                </c:pt>
                <c:pt idx="7">
                  <c:v>Manufactura</c:v>
                </c:pt>
                <c:pt idx="8">
                  <c:v>Petroleo_Gas_Mineria</c:v>
                </c:pt>
                <c:pt idx="9">
                  <c:v>Retail</c:v>
                </c:pt>
                <c:pt idx="10">
                  <c:v>Salud</c:v>
                </c:pt>
                <c:pt idx="11">
                  <c:v>Service_Provider</c:v>
                </c:pt>
                <c:pt idx="12">
                  <c:v>Tecnologia</c:v>
                </c:pt>
                <c:pt idx="13">
                  <c:v>Transporte_Logistica</c:v>
                </c:pt>
                <c:pt idx="15">
                  <c:v>500-1000</c:v>
                </c:pt>
                <c:pt idx="16">
                  <c:v>500-1000</c:v>
                </c:pt>
                <c:pt idx="17">
                  <c:v>1000-5000</c:v>
                </c:pt>
                <c:pt idx="18">
                  <c:v>1000-5000</c:v>
                </c:pt>
                <c:pt idx="19">
                  <c:v>1000-5000</c:v>
                </c:pt>
                <c:pt idx="20">
                  <c:v>500-1000</c:v>
                </c:pt>
                <c:pt idx="21">
                  <c:v>200-500</c:v>
                </c:pt>
                <c:pt idx="22">
                  <c:v>200-500</c:v>
                </c:pt>
                <c:pt idx="23">
                  <c:v>1000-5000</c:v>
                </c:pt>
                <c:pt idx="24">
                  <c:v>1000-5000</c:v>
                </c:pt>
                <c:pt idx="25">
                  <c:v>1000-5000</c:v>
                </c:pt>
                <c:pt idx="26">
                  <c:v>200-500</c:v>
                </c:pt>
                <c:pt idx="27">
                  <c:v>1000-5000</c:v>
                </c:pt>
                <c:pt idx="28">
                  <c:v>1000-5000</c:v>
                </c:pt>
              </c:strCache>
            </c:strRef>
          </c:cat>
          <c:val>
            <c:numRef>
              <c:f>'EMPRESAS X INDUSTRIA'!$Q$46:$Q$59</c:f>
              <c:numCache>
                <c:formatCode>General</c:formatCode>
                <c:ptCount val="14"/>
                <c:pt idx="0">
                  <c:v>5</c:v>
                </c:pt>
                <c:pt idx="1">
                  <c:v>9</c:v>
                </c:pt>
                <c:pt idx="2">
                  <c:v>12</c:v>
                </c:pt>
                <c:pt idx="3">
                  <c:v>10</c:v>
                </c:pt>
                <c:pt idx="4">
                  <c:v>6</c:v>
                </c:pt>
                <c:pt idx="5">
                  <c:v>10</c:v>
                </c:pt>
                <c:pt idx="6">
                  <c:v>30</c:v>
                </c:pt>
                <c:pt idx="7">
                  <c:v>61</c:v>
                </c:pt>
                <c:pt idx="8">
                  <c:v>20</c:v>
                </c:pt>
                <c:pt idx="9">
                  <c:v>7</c:v>
                </c:pt>
                <c:pt idx="10">
                  <c:v>28</c:v>
                </c:pt>
                <c:pt idx="11">
                  <c:v>31</c:v>
                </c:pt>
                <c:pt idx="12">
                  <c:v>12</c:v>
                </c:pt>
                <c:pt idx="1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B7-47C6-B081-EC8808D37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00307976"/>
        <c:axId val="300310024"/>
      </c:barChart>
      <c:barChart>
        <c:barDir val="bar"/>
        <c:grouping val="percentStacked"/>
        <c:varyColors val="0"/>
        <c:ser>
          <c:idx val="1"/>
          <c:order val="1"/>
          <c:tx>
            <c:strRef>
              <c:f>'EMPRESAS X INDUSTRIA'!$R$45</c:f>
              <c:strCache>
                <c:ptCount val="1"/>
                <c:pt idx="0">
                  <c:v>PROMEDIO EMPLEADOS</c:v>
                </c:pt>
              </c:strCache>
            </c:strRef>
          </c:tx>
          <c:spPr>
            <a:solidFill>
              <a:srgbClr val="2AA0A4"/>
            </a:solidFill>
            <a:ln>
              <a:noFill/>
              <a:prstDash val="solid"/>
            </a:ln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strRef>
              <c:f>('EMPRESAS X INDUSTRIA'!$P$46:$P$60,'EMPRESAS X INDUSTRIA'!$R$46:$R$60)</c:f>
              <c:strCache>
                <c:ptCount val="29"/>
                <c:pt idx="0">
                  <c:v>Automotriz</c:v>
                </c:pt>
                <c:pt idx="1">
                  <c:v>Banca</c:v>
                </c:pt>
                <c:pt idx="2">
                  <c:v>Construccion</c:v>
                </c:pt>
                <c:pt idx="3">
                  <c:v>Educación</c:v>
                </c:pt>
                <c:pt idx="4">
                  <c:v>Energia</c:v>
                </c:pt>
                <c:pt idx="5">
                  <c:v>Entretenimiento</c:v>
                </c:pt>
                <c:pt idx="6">
                  <c:v>Gobierno</c:v>
                </c:pt>
                <c:pt idx="7">
                  <c:v>Manufactura</c:v>
                </c:pt>
                <c:pt idx="8">
                  <c:v>Petroleo_Gas_Mineria</c:v>
                </c:pt>
                <c:pt idx="9">
                  <c:v>Retail</c:v>
                </c:pt>
                <c:pt idx="10">
                  <c:v>Salud</c:v>
                </c:pt>
                <c:pt idx="11">
                  <c:v>Service_Provider</c:v>
                </c:pt>
                <c:pt idx="12">
                  <c:v>Tecnologia</c:v>
                </c:pt>
                <c:pt idx="13">
                  <c:v>Transporte_Logistica</c:v>
                </c:pt>
                <c:pt idx="15">
                  <c:v>500-1000</c:v>
                </c:pt>
                <c:pt idx="16">
                  <c:v>500-1000</c:v>
                </c:pt>
                <c:pt idx="17">
                  <c:v>1000-5000</c:v>
                </c:pt>
                <c:pt idx="18">
                  <c:v>1000-5000</c:v>
                </c:pt>
                <c:pt idx="19">
                  <c:v>1000-5000</c:v>
                </c:pt>
                <c:pt idx="20">
                  <c:v>500-1000</c:v>
                </c:pt>
                <c:pt idx="21">
                  <c:v>200-500</c:v>
                </c:pt>
                <c:pt idx="22">
                  <c:v>200-500</c:v>
                </c:pt>
                <c:pt idx="23">
                  <c:v>1000-5000</c:v>
                </c:pt>
                <c:pt idx="24">
                  <c:v>1000-5000</c:v>
                </c:pt>
                <c:pt idx="25">
                  <c:v>1000-5000</c:v>
                </c:pt>
                <c:pt idx="26">
                  <c:v>200-500</c:v>
                </c:pt>
                <c:pt idx="27">
                  <c:v>1000-5000</c:v>
                </c:pt>
                <c:pt idx="28">
                  <c:v>1000-5000</c:v>
                </c:pt>
              </c:strCache>
            </c:strRef>
          </c:cat>
          <c:val>
            <c:numRef>
              <c:f>'EMPRESAS X INDUSTRIA'!$R$46:$R$60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B7-47C6-B081-EC8808D37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82524935"/>
        <c:axId val="382522887"/>
      </c:barChart>
      <c:catAx>
        <c:axId val="300307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310024"/>
        <c:crosses val="autoZero"/>
        <c:auto val="1"/>
        <c:lblAlgn val="ctr"/>
        <c:lblOffset val="100"/>
        <c:noMultiLvlLbl val="0"/>
      </c:catAx>
      <c:valAx>
        <c:axId val="30031002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307976"/>
        <c:crosses val="autoZero"/>
        <c:crossBetween val="between"/>
      </c:valAx>
      <c:catAx>
        <c:axId val="38252493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82522887"/>
        <c:crosses val="autoZero"/>
        <c:auto val="1"/>
        <c:lblAlgn val="ctr"/>
        <c:lblOffset val="100"/>
        <c:noMultiLvlLbl val="0"/>
      </c:catAx>
      <c:valAx>
        <c:axId val="382522887"/>
        <c:scaling>
          <c:orientation val="minMax"/>
        </c:scaling>
        <c:delete val="0"/>
        <c:axPos val="t"/>
        <c:numFmt formatCode="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524935"/>
        <c:crosses val="max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'EMPRESAS X INDUSTRIA'!$Q$45</c:f>
              <c:strCache>
                <c:ptCount val="1"/>
                <c:pt idx="0">
                  <c:v>EMPRESAS POR INDUSTRIA</c:v>
                </c:pt>
              </c:strCache>
            </c:strRef>
          </c:tx>
          <c:spPr>
            <a:solidFill>
              <a:srgbClr val="02AF4B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'EMPRESAS X INDUSTRIA'!$P$46:$P$59</c:f>
              <c:strCache>
                <c:ptCount val="14"/>
                <c:pt idx="0">
                  <c:v>Automotriz</c:v>
                </c:pt>
                <c:pt idx="1">
                  <c:v>Banca</c:v>
                </c:pt>
                <c:pt idx="2">
                  <c:v>Construccion</c:v>
                </c:pt>
                <c:pt idx="3">
                  <c:v>Educación</c:v>
                </c:pt>
                <c:pt idx="4">
                  <c:v>Energia</c:v>
                </c:pt>
                <c:pt idx="5">
                  <c:v>Entretenimiento</c:v>
                </c:pt>
                <c:pt idx="6">
                  <c:v>Gobierno</c:v>
                </c:pt>
                <c:pt idx="7">
                  <c:v>Manufactura</c:v>
                </c:pt>
                <c:pt idx="8">
                  <c:v>Petroleo_Gas_Mineria</c:v>
                </c:pt>
                <c:pt idx="9">
                  <c:v>Retail</c:v>
                </c:pt>
                <c:pt idx="10">
                  <c:v>Salud</c:v>
                </c:pt>
                <c:pt idx="11">
                  <c:v>Service_Provider</c:v>
                </c:pt>
                <c:pt idx="12">
                  <c:v>Tecnologia</c:v>
                </c:pt>
                <c:pt idx="13">
                  <c:v>Transporte_Logistica</c:v>
                </c:pt>
              </c:strCache>
            </c:strRef>
          </c:cat>
          <c:val>
            <c:numRef>
              <c:f>'EMPRESAS X INDUSTRIA'!$Q$46:$Q$59</c:f>
              <c:numCache>
                <c:formatCode>General</c:formatCode>
                <c:ptCount val="14"/>
                <c:pt idx="0">
                  <c:v>5</c:v>
                </c:pt>
                <c:pt idx="1">
                  <c:v>9</c:v>
                </c:pt>
                <c:pt idx="2">
                  <c:v>12</c:v>
                </c:pt>
                <c:pt idx="3">
                  <c:v>10</c:v>
                </c:pt>
                <c:pt idx="4">
                  <c:v>6</c:v>
                </c:pt>
                <c:pt idx="5">
                  <c:v>10</c:v>
                </c:pt>
                <c:pt idx="6">
                  <c:v>30</c:v>
                </c:pt>
                <c:pt idx="7">
                  <c:v>61</c:v>
                </c:pt>
                <c:pt idx="8">
                  <c:v>20</c:v>
                </c:pt>
                <c:pt idx="9">
                  <c:v>7</c:v>
                </c:pt>
                <c:pt idx="10">
                  <c:v>28</c:v>
                </c:pt>
                <c:pt idx="11">
                  <c:v>31</c:v>
                </c:pt>
                <c:pt idx="12">
                  <c:v>12</c:v>
                </c:pt>
                <c:pt idx="1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04-497C-88D1-B122D530E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9610759"/>
        <c:axId val="605639688"/>
      </c:barChart>
      <c:catAx>
        <c:axId val="289610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/>
                <a:ea typeface="Poppins"/>
                <a:cs typeface="Poppins"/>
              </a:defRPr>
            </a:pPr>
            <a:endParaRPr lang="en-US"/>
          </a:p>
        </c:txPr>
        <c:crossAx val="605639688"/>
        <c:crosses val="autoZero"/>
        <c:auto val="1"/>
        <c:lblAlgn val="ctr"/>
        <c:lblOffset val="100"/>
        <c:noMultiLvlLbl val="0"/>
      </c:catAx>
      <c:valAx>
        <c:axId val="6056396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89610759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'EMPRESAS X INDUSTRIA'!$S$46:$S$58</c:f>
              <c:strCache>
                <c:ptCount val="13"/>
                <c:pt idx="0">
                  <c:v>5 empresas | 500-1000 emp</c:v>
                </c:pt>
                <c:pt idx="1">
                  <c:v>9 empresas | 500-1000 emp</c:v>
                </c:pt>
                <c:pt idx="2">
                  <c:v>12 empresas | 1000-5000 emp</c:v>
                </c:pt>
                <c:pt idx="3">
                  <c:v>10 empresas | 1000-5000 emp</c:v>
                </c:pt>
                <c:pt idx="4">
                  <c:v>6 empresas | 1000-5000 emp</c:v>
                </c:pt>
                <c:pt idx="5">
                  <c:v>10 empresas | 500-1000 emp</c:v>
                </c:pt>
                <c:pt idx="6">
                  <c:v>30 empresas | 200-500 emp</c:v>
                </c:pt>
                <c:pt idx="7">
                  <c:v>61 empresas | 200-500 emp</c:v>
                </c:pt>
                <c:pt idx="8">
                  <c:v>20 empresas | 1000-5000 emp</c:v>
                </c:pt>
                <c:pt idx="9">
                  <c:v>7 empresas | 1000-5000 emp</c:v>
                </c:pt>
                <c:pt idx="10">
                  <c:v>28 empresas | 1000-5000 emp</c:v>
                </c:pt>
                <c:pt idx="11">
                  <c:v>31 empresas | 200-500 emp</c:v>
                </c:pt>
                <c:pt idx="12">
                  <c:v>12 empresas | 1000-5000 emp</c:v>
                </c:pt>
              </c:strCache>
            </c:strRef>
          </c:tx>
          <c:spPr>
            <a:solidFill>
              <a:srgbClr val="637CEF"/>
            </a:solidFill>
            <a:ln>
              <a:noFill/>
              <a:prstDash val="solid"/>
            </a:ln>
          </c:spPr>
          <c:invertIfNegative val="0"/>
          <c:cat>
            <c:strRef>
              <c:f>'EMPRESAS X INDUSTRIA'!$P$59:$R$59</c:f>
              <c:strCache>
                <c:ptCount val="3"/>
                <c:pt idx="0">
                  <c:v>Transporte_Logistica</c:v>
                </c:pt>
                <c:pt idx="1">
                  <c:v>9</c:v>
                </c:pt>
                <c:pt idx="2">
                  <c:v>1000-5000</c:v>
                </c:pt>
              </c:strCache>
            </c:strRef>
          </c:cat>
          <c:val>
            <c:numRef>
              <c:f>'EMPRESAS X INDUSTRIA'!$S$59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0-4237-9669-3DEF98B2C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9030279"/>
        <c:axId val="839032327"/>
      </c:barChart>
      <c:catAx>
        <c:axId val="839030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32327"/>
        <c:crosses val="autoZero"/>
        <c:auto val="1"/>
        <c:lblAlgn val="ctr"/>
        <c:lblOffset val="100"/>
        <c:noMultiLvlLbl val="0"/>
      </c:catAx>
      <c:valAx>
        <c:axId val="839032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302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 EMPLEADOS POR INDUSTRIA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spPr>
            <a:solidFill>
              <a:srgbClr val="00B050"/>
            </a:solidFill>
            <a:ln>
              <a:noFill/>
              <a:prstDash val="solid"/>
            </a:ln>
          </c:spPr>
          <c:invertIfNegative val="0"/>
          <c:dPt>
            <c:idx val="8"/>
            <c:invertIfNegative val="0"/>
            <c:bubble3D val="0"/>
            <c:spPr>
              <a:solidFill>
                <a:srgbClr val="0070C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2CD-4DA0-A1ED-3B93578B10ED}"/>
              </c:ext>
            </c:extLst>
          </c:dPt>
          <c:dPt>
            <c:idx val="9"/>
            <c:invertIfNegative val="0"/>
            <c:bubble3D val="0"/>
            <c:spPr>
              <a:solidFill>
                <a:srgbClr val="0070C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2CD-4DA0-A1ED-3B93578B10ED}"/>
              </c:ext>
            </c:extLst>
          </c:dPt>
          <c:dPt>
            <c:idx val="10"/>
            <c:invertIfNegative val="0"/>
            <c:bubble3D val="0"/>
            <c:spPr>
              <a:solidFill>
                <a:srgbClr val="0070C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2CD-4DA0-A1ED-3B93578B10ED}"/>
              </c:ext>
            </c:extLst>
          </c:dPt>
          <c:dPt>
            <c:idx val="11"/>
            <c:invertIfNegative val="0"/>
            <c:bubble3D val="0"/>
            <c:spPr>
              <a:solidFill>
                <a:srgbClr val="A6A6A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2CD-4DA0-A1ED-3B93578B10ED}"/>
              </c:ext>
            </c:extLst>
          </c:dPt>
          <c:dPt>
            <c:idx val="12"/>
            <c:invertIfNegative val="0"/>
            <c:bubble3D val="0"/>
            <c:spPr>
              <a:solidFill>
                <a:srgbClr val="A6A6A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2CD-4DA0-A1ED-3B93578B10ED}"/>
              </c:ext>
            </c:extLst>
          </c:dPt>
          <c:dPt>
            <c:idx val="13"/>
            <c:invertIfNegative val="0"/>
            <c:bubble3D val="0"/>
            <c:spPr>
              <a:solidFill>
                <a:srgbClr val="A6A6A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2CD-4DA0-A1ED-3B93578B10ED}"/>
              </c:ext>
            </c:extLst>
          </c:dPt>
          <c:cat>
            <c:strRef>
              <c:f>'EMPRESAS X INDUSTRIA'!$B$133:$B$146</c:f>
              <c:strCache>
                <c:ptCount val="14"/>
                <c:pt idx="0">
                  <c:v>Construccion</c:v>
                </c:pt>
                <c:pt idx="1">
                  <c:v>Educación</c:v>
                </c:pt>
                <c:pt idx="2">
                  <c:v>Energia</c:v>
                </c:pt>
                <c:pt idx="3">
                  <c:v>Petroleo, Gas y Mineria</c:v>
                </c:pt>
                <c:pt idx="4">
                  <c:v>Retail</c:v>
                </c:pt>
                <c:pt idx="5">
                  <c:v>Salud</c:v>
                </c:pt>
                <c:pt idx="6">
                  <c:v>Tecnologia</c:v>
                </c:pt>
                <c:pt idx="7">
                  <c:v>Transporte y Logistica</c:v>
                </c:pt>
                <c:pt idx="8">
                  <c:v>Banca</c:v>
                </c:pt>
                <c:pt idx="9">
                  <c:v>Entretenimiento</c:v>
                </c:pt>
                <c:pt idx="10">
                  <c:v>Automotriz</c:v>
                </c:pt>
                <c:pt idx="11">
                  <c:v>Gobierno</c:v>
                </c:pt>
                <c:pt idx="12">
                  <c:v>Manufactura</c:v>
                </c:pt>
                <c:pt idx="13">
                  <c:v>Service Provider</c:v>
                </c:pt>
              </c:strCache>
            </c:strRef>
          </c:cat>
          <c:val>
            <c:numRef>
              <c:f>'EMPRESAS X INDUSTRIA'!$C$133:$C$146</c:f>
              <c:numCache>
                <c:formatCode>General</c:formatCode>
                <c:ptCount val="14"/>
                <c:pt idx="0">
                  <c:v>2500</c:v>
                </c:pt>
                <c:pt idx="1">
                  <c:v>2500</c:v>
                </c:pt>
                <c:pt idx="2">
                  <c:v>2500</c:v>
                </c:pt>
                <c:pt idx="3">
                  <c:v>2500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750</c:v>
                </c:pt>
                <c:pt idx="9">
                  <c:v>750</c:v>
                </c:pt>
                <c:pt idx="10">
                  <c:v>750</c:v>
                </c:pt>
                <c:pt idx="11">
                  <c:v>350</c:v>
                </c:pt>
                <c:pt idx="12">
                  <c:v>350</c:v>
                </c:pt>
                <c:pt idx="13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2CD-4DA0-A1ED-3B93578B1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5131400"/>
        <c:axId val="1822291463"/>
      </c:barChart>
      <c:catAx>
        <c:axId val="2075131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291463"/>
        <c:crosses val="autoZero"/>
        <c:auto val="1"/>
        <c:lblAlgn val="ctr"/>
        <c:lblOffset val="100"/>
        <c:noMultiLvlLbl val="0"/>
      </c:catAx>
      <c:valAx>
        <c:axId val="1822291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13140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'REVENEW X INDUSTRIAS'!$U$3</c:f>
              <c:strCache>
                <c:ptCount val="1"/>
                <c:pt idx="0">
                  <c:v>Nivel</c:v>
                </c:pt>
              </c:strCache>
            </c:strRef>
          </c:tx>
          <c:spPr>
            <a:solidFill>
              <a:srgbClr val="ADADAD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B6E-4B43-BD26-C90AC2F87DF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DB6E-4B43-BD26-C90AC2F87DF2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DB6E-4B43-BD26-C90AC2F87DF2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DB6E-4B43-BD26-C90AC2F87DF2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DB6E-4B43-BD26-C90AC2F87DF2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DB6E-4B43-BD26-C90AC2F87DF2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DB6E-4B43-BD26-C90AC2F87DF2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DB6E-4B43-BD26-C90AC2F87DF2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DB6E-4B43-BD26-C90AC2F87DF2}"/>
              </c:ext>
            </c:extLst>
          </c:dPt>
          <c:dPt>
            <c:idx val="10"/>
            <c:invertIfNegative val="0"/>
            <c:bubble3D val="0"/>
            <c:spPr>
              <a:solidFill>
                <a:srgbClr val="63C9BA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DB6E-4B43-BD26-C90AC2F87DF2}"/>
              </c:ext>
            </c:extLst>
          </c:dPt>
          <c:dPt>
            <c:idx val="11"/>
            <c:invertIfNegative val="0"/>
            <c:bubble3D val="0"/>
            <c:spPr>
              <a:solidFill>
                <a:srgbClr val="63C9BA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DB6E-4B43-BD26-C90AC2F87DF2}"/>
              </c:ext>
            </c:extLst>
          </c:dPt>
          <c:dPt>
            <c:idx val="12"/>
            <c:invertIfNegative val="0"/>
            <c:bubble3D val="0"/>
            <c:spPr>
              <a:solidFill>
                <a:srgbClr val="00AF5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DB6E-4B43-BD26-C90AC2F87DF2}"/>
              </c:ext>
            </c:extLst>
          </c:dPt>
          <c:dPt>
            <c:idx val="13"/>
            <c:invertIfNegative val="0"/>
            <c:bubble3D val="0"/>
            <c:spPr>
              <a:solidFill>
                <a:srgbClr val="19464E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DB6E-4B43-BD26-C90AC2F87DF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Poppins"/>
                    <a:ea typeface="Poppins"/>
                    <a:cs typeface="Poppin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'REVENEW X INDUSTRIAS'!$S$4:$S$17</c:f>
              <c:strCache>
                <c:ptCount val="14"/>
                <c:pt idx="0">
                  <c:v>Automotriz</c:v>
                </c:pt>
                <c:pt idx="1">
                  <c:v>Construcción</c:v>
                </c:pt>
                <c:pt idx="2">
                  <c:v>Educación</c:v>
                </c:pt>
                <c:pt idx="3">
                  <c:v>Gobierno</c:v>
                </c:pt>
                <c:pt idx="4">
                  <c:v>Retail</c:v>
                </c:pt>
                <c:pt idx="5">
                  <c:v>Tecnología</c:v>
                </c:pt>
                <c:pt idx="6">
                  <c:v>Transporte_Logística</c:v>
                </c:pt>
                <c:pt idx="7">
                  <c:v>Entretenimiento</c:v>
                </c:pt>
                <c:pt idx="8">
                  <c:v>Salud</c:v>
                </c:pt>
                <c:pt idx="9">
                  <c:v>Banca</c:v>
                </c:pt>
                <c:pt idx="10">
                  <c:v>Energía</c:v>
                </c:pt>
                <c:pt idx="11">
                  <c:v>Manufactura</c:v>
                </c:pt>
                <c:pt idx="12">
                  <c:v>Manufactura_Logística</c:v>
                </c:pt>
                <c:pt idx="13">
                  <c:v>Petróleo_Gas_Minería</c:v>
                </c:pt>
              </c:strCache>
            </c:strRef>
          </c:cat>
          <c:val>
            <c:numRef>
              <c:f>'REVENEW X INDUSTRIAS'!$U$4:$U$17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B6E-4B43-BD26-C90AC2F87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7465992"/>
        <c:axId val="1847472136"/>
      </c:barChart>
      <c:catAx>
        <c:axId val="1847465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/>
                <a:ea typeface="Poppins"/>
                <a:cs typeface="Poppins"/>
              </a:defRPr>
            </a:pPr>
            <a:endParaRPr lang="en-US"/>
          </a:p>
        </c:txPr>
        <c:crossAx val="1847472136"/>
        <c:crosses val="autoZero"/>
        <c:auto val="1"/>
        <c:lblAlgn val="ctr"/>
        <c:lblOffset val="100"/>
        <c:noMultiLvlLbl val="0"/>
      </c:catAx>
      <c:valAx>
        <c:axId val="18474721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47465992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[BD_Empresas_Anonimizada.xlsx]Listas!TablaDinámica1</c:name>
    <c:fmtId val="0"/>
  </c:pivotSource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>
            <a:prstDash val="solid"/>
          </a:ln>
        </c:spPr>
      </c:pivotFmt>
      <c:pivotFmt>
        <c:idx val="16"/>
        <c:spPr>
          <a:ln>
            <a:prstDash val="solid"/>
          </a:ln>
        </c:spPr>
      </c:pivotFmt>
      <c:pivotFmt>
        <c:idx val="17"/>
        <c:spPr>
          <a:ln>
            <a:prstDash val="solid"/>
          </a:ln>
        </c:spPr>
      </c:pivotFmt>
      <c:pivotFmt>
        <c:idx val="18"/>
        <c:spPr>
          <a:ln>
            <a:prstDash val="solid"/>
          </a:ln>
        </c:spPr>
      </c:pivotFmt>
      <c:pivotFmt>
        <c:idx val="19"/>
        <c:spPr>
          <a:ln>
            <a:prstDash val="solid"/>
          </a:ln>
        </c:spPr>
      </c:pivotFmt>
      <c:pivotFmt>
        <c:idx val="20"/>
        <c:spPr>
          <a:ln>
            <a:prstDash val="solid"/>
          </a:ln>
        </c:spPr>
      </c:pivotFmt>
      <c:pivotFmt>
        <c:idx val="21"/>
        <c:spPr>
          <a:ln>
            <a:prstDash val="solid"/>
          </a:ln>
        </c:spPr>
      </c:pivotFmt>
      <c:pivotFmt>
        <c:idx val="22"/>
        <c:spPr>
          <a:ln>
            <a:prstDash val="solid"/>
          </a:ln>
        </c:spPr>
      </c:pivotFmt>
      <c:pivotFmt>
        <c:idx val="23"/>
        <c:spPr>
          <a:ln>
            <a:prstDash val="solid"/>
          </a:ln>
        </c:spPr>
      </c:pivotFmt>
      <c:pivotFmt>
        <c:idx val="24"/>
        <c:spPr>
          <a:ln>
            <a:prstDash val="solid"/>
          </a:ln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Listas!$B$5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 w="19050">
              <a:solidFill>
                <a:schemeClr val="lt1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413-40B3-9904-6D7487FA4ACF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413-40B3-9904-6D7487FA4ACF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413-40B3-9904-6D7487FA4ACF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413-40B3-9904-6D7487FA4ACF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413-40B3-9904-6D7487FA4ACF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E413-40B3-9904-6D7487FA4ACF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E413-40B3-9904-6D7487FA4ACF}"/>
              </c:ext>
            </c:extLst>
          </c:dPt>
          <c:cat>
            <c:strRef>
              <c:f>Listas!$A$6:$A$11</c:f>
              <c:strCache>
                <c:ptCount val="5"/>
                <c:pt idx="0">
                  <c:v>Cotizado</c:v>
                </c:pt>
                <c:pt idx="1">
                  <c:v>No interesado</c:v>
                </c:pt>
                <c:pt idx="2">
                  <c:v>Prospectando</c:v>
                </c:pt>
                <c:pt idx="3">
                  <c:v>Reunion Agendada</c:v>
                </c:pt>
                <c:pt idx="4">
                  <c:v>Competencia</c:v>
                </c:pt>
              </c:strCache>
            </c:strRef>
          </c:cat>
          <c:val>
            <c:numRef>
              <c:f>Listas!$B$6:$B$11</c:f>
              <c:numCache>
                <c:formatCode>General</c:formatCode>
                <c:ptCount val="5"/>
                <c:pt idx="0">
                  <c:v>5</c:v>
                </c:pt>
                <c:pt idx="1">
                  <c:v>19</c:v>
                </c:pt>
                <c:pt idx="2">
                  <c:v>229</c:v>
                </c:pt>
                <c:pt idx="3">
                  <c:v>30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413-40B3-9904-6D7487FA4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34358536"/>
        <c:axId val="1134360584"/>
      </c:barChart>
      <c:catAx>
        <c:axId val="1134358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360584"/>
        <c:crosses val="autoZero"/>
        <c:auto val="1"/>
        <c:lblAlgn val="ctr"/>
        <c:lblOffset val="100"/>
        <c:noMultiLvlLbl val="0"/>
      </c:catAx>
      <c:valAx>
        <c:axId val="1134360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35853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22</xdr:row>
      <xdr:rowOff>28575</xdr:rowOff>
    </xdr:from>
    <xdr:to>
      <xdr:col>6</xdr:col>
      <xdr:colOff>123825</xdr:colOff>
      <xdr:row>41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219075</xdr:colOff>
      <xdr:row>65</xdr:row>
      <xdr:rowOff>9525</xdr:rowOff>
    </xdr:from>
    <xdr:to>
      <xdr:col>15</xdr:col>
      <xdr:colOff>57150</xdr:colOff>
      <xdr:row>81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171450</xdr:colOff>
      <xdr:row>62</xdr:row>
      <xdr:rowOff>76200</xdr:rowOff>
    </xdr:from>
    <xdr:to>
      <xdr:col>25</xdr:col>
      <xdr:colOff>361950</xdr:colOff>
      <xdr:row>80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</xdr:row>
      <xdr:rowOff>123825</xdr:rowOff>
    </xdr:from>
    <xdr:to>
      <xdr:col>8</xdr:col>
      <xdr:colOff>0</xdr:colOff>
      <xdr:row>1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142875</xdr:colOff>
      <xdr:row>124</xdr:row>
      <xdr:rowOff>171450</xdr:rowOff>
    </xdr:from>
    <xdr:to>
      <xdr:col>12</xdr:col>
      <xdr:colOff>628650</xdr:colOff>
      <xdr:row>150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38100</xdr:rowOff>
    </xdr:from>
    <xdr:to>
      <xdr:col>8</xdr:col>
      <xdr:colOff>152400</xdr:colOff>
      <xdr:row>39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1</xdr:row>
      <xdr:rowOff>180975</xdr:rowOff>
    </xdr:from>
    <xdr:to>
      <xdr:col>10</xdr:col>
      <xdr:colOff>9525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4.5337806713" createdVersion="8" refreshedVersion="8" minRefreshableVersion="3" recordCount="15" xr:uid="{00000000-000A-0000-FFFF-FFFFE6000000}">
  <cacheSource type="worksheet">
    <worksheetSource ref="H85:I100" sheet="EMPRESAS X INDUSTRIA"/>
  </cacheSource>
  <cacheFields count="2">
    <cacheField name="INDUSTRIA" numFmtId="0">
      <sharedItems count="14">
        <s v="Construccion"/>
        <s v="Educación"/>
        <s v="Energia"/>
        <s v="Transporte_Logistica"/>
        <s v="Petroleo_Gas_Mineria"/>
        <s v="Retail"/>
        <s v="Salud"/>
        <s v="Tecnologia"/>
        <s v="Banca"/>
        <s v="Entretenimiento"/>
        <s v="Automotriz"/>
        <s v="Gobierno"/>
        <s v="Manufactura"/>
        <s v="Service_Provider"/>
      </sharedItems>
    </cacheField>
    <cacheField name="CRITERIO" numFmtId="0">
      <sharedItems count="13">
        <s v="12 logos | 1000 - 5000 empleados"/>
        <s v="10 logos | 1000 - 5000 empleados"/>
        <s v="6 logos | 1000 - 5000 empleados"/>
        <s v="9 logos | 1000 - 5000 empleados"/>
        <s v="20 logos | 1000 - 5000 empleados"/>
        <s v="7 logos | 1000 - 5000 empleados"/>
        <s v="28 logos | 1000 - 5000 empleados"/>
        <s v="9 logos | 500 - 1000 empleados"/>
        <s v="10 logos | 500 - 1000 empleados"/>
        <s v="5 logos | 500 - 1000 empleados"/>
        <s v="30 logos | 200 - 500 empleados"/>
        <s v="61 logos | 200 - 500 empleados"/>
        <s v="31 logos | 200 - 500 emplead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4.5337806713" createdVersion="8" refreshedVersion="8" minRefreshableVersion="3" recordCount="338" xr:uid="{00000000-000A-0000-FFFF-FFFFE8000000}">
  <cacheSource type="worksheet">
    <worksheetSource ref="I1:I1048576" sheet="Empresas"/>
  </cacheSource>
  <cacheFields count="15">
    <cacheField name="ID_EMPRESA" numFmtId="0">
      <sharedItems containsBlank="1"/>
    </cacheField>
    <cacheField name="EMPRESA" numFmtId="0">
      <sharedItems containsBlank="1"/>
    </cacheField>
    <cacheField name="INDUSTRIA" numFmtId="0">
      <sharedItems containsBlank="1" count="16">
        <s v="Gobierno"/>
        <s v="Manufactura"/>
        <s v="Educación"/>
        <s v="Salud"/>
        <s v="Petroleo_Gas_Mineria"/>
        <s v="Entretenimiento"/>
        <s v="Service_Provider"/>
        <s v="Transporte_Logistica"/>
        <s v="Energia"/>
        <s v="Construccion"/>
        <s v="Banca"/>
        <s v="Automotriz"/>
        <s v="Tecnologia"/>
        <s v="Retail"/>
        <m/>
        <s v="Manufactura_Logistica" u="1"/>
      </sharedItems>
    </cacheField>
    <cacheField name="WEB" numFmtId="0">
      <sharedItems containsBlank="1"/>
    </cacheField>
    <cacheField name="REVENEW" numFmtId="0">
      <sharedItems containsBlank="1"/>
    </cacheField>
    <cacheField name="REVENEW USD" numFmtId="0">
      <sharedItems containsBlank="1"/>
    </cacheField>
    <cacheField name="EMPLEADOS" numFmtId="0">
      <sharedItems containsBlank="1" count="12">
        <s v="200-500"/>
        <s v="1,000-5,000"/>
        <s v="500-1,000"/>
        <s v="50-200"/>
        <s v="201 - 500"/>
        <s v="51 - 200"/>
        <s v="11 - 50"/>
        <s v="10,000-100,000"/>
        <s v="S/D"/>
        <s v="SIN DATOS"/>
        <s v="5,000-10,000"/>
        <m/>
      </sharedItems>
    </cacheField>
    <cacheField name="PROVINCIA" numFmtId="0">
      <sharedItems containsBlank="1" count="14">
        <s v="Mendoza"/>
        <s v="Cordoba"/>
        <s v="Neuquen"/>
        <s v="Buenos_Aires"/>
        <s v="La_Pampa"/>
        <s v="Santa_Fe"/>
        <s v="Tucuman "/>
        <s v="Salta"/>
        <s v="Rio_Negro"/>
        <s v="La_Rioja"/>
        <s v="Entre_Rios"/>
        <s v="Santa_Cruz"/>
        <s v="Santiago_del_Estero"/>
        <m/>
      </sharedItems>
    </cacheField>
    <cacheField name="IS" numFmtId="0">
      <sharedItems containsBlank="1"/>
    </cacheField>
    <cacheField name="SITUACION" numFmtId="0">
      <sharedItems containsBlank="1" count="9">
        <s v="Prospectando"/>
        <s v="Reunion Agendada"/>
        <s v="No interesado"/>
        <s v="Cotizado"/>
        <s v="Competencia"/>
        <m/>
        <s v="No contesta" u="1"/>
        <s v="R/A" u="1"/>
        <s v="N/I" u="1"/>
      </sharedItems>
    </cacheField>
    <cacheField name="COMENTARIOS" numFmtId="0">
      <sharedItems containsBlank="1"/>
    </cacheField>
    <cacheField name="AM" numFmtId="0">
      <sharedItems containsBlank="1"/>
    </cacheField>
    <cacheField name="N° DE OPORTUNIDAD" numFmtId="0">
      <sharedItems containsBlank="1"/>
    </cacheField>
    <cacheField name="STATUS" numFmtId="0">
      <sharedItems containsBlank="1"/>
    </cacheField>
    <cacheField name="MONTO COTIZADO" numFmtId="0">
      <sharedItems containsString="0" containsBlank="1" containsNumber="1" containsInteger="1" minValue="11480" maxValue="4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4.533780787038" createdVersion="8" refreshedVersion="8" minRefreshableVersion="3" recordCount="337" xr:uid="{00000000-000A-0000-FFFF-FFFFE9000000}">
  <cacheSource type="worksheet">
    <worksheetSource name="tblEmpresas"/>
  </cacheSource>
  <cacheFields count="15">
    <cacheField name="ID_EMPRESA" numFmtId="0">
      <sharedItems/>
    </cacheField>
    <cacheField name="EMPRESA" numFmtId="0">
      <sharedItems containsBlank="1"/>
    </cacheField>
    <cacheField name="INDUSTRIA" numFmtId="0">
      <sharedItems containsBlank="1" count="16">
        <s v="Gobierno"/>
        <s v="Manufactura"/>
        <s v="Educación"/>
        <s v="Salud"/>
        <s v="Petroleo_Gas_Mineria"/>
        <s v="Entretenimiento"/>
        <s v="Service_Provider"/>
        <s v="Transporte_Logistica"/>
        <s v="Energia"/>
        <s v="Construccion"/>
        <s v="Banca"/>
        <s v="Automotriz"/>
        <s v="Tecnologia"/>
        <s v="Retail"/>
        <m/>
        <s v="Manufactura_Logistica" u="1"/>
      </sharedItems>
    </cacheField>
    <cacheField name="WEB" numFmtId="0">
      <sharedItems containsBlank="1"/>
    </cacheField>
    <cacheField name="REVENEW" numFmtId="0">
      <sharedItems containsBlank="1"/>
    </cacheField>
    <cacheField name="REVENEW USD" numFmtId="0">
      <sharedItems containsBlank="1"/>
    </cacheField>
    <cacheField name="EMPLEADOS" numFmtId="0">
      <sharedItems containsBlank="1" count="15">
        <s v="200-500"/>
        <s v="1,000-5,000"/>
        <s v="500-1,000"/>
        <s v="50-200"/>
        <s v="201 - 500"/>
        <s v="51 - 200"/>
        <s v="11 - 50"/>
        <s v="10,000-100,000"/>
        <s v="S/D"/>
        <s v="SIN DATOS"/>
        <s v="5,000-10,000"/>
        <m/>
        <s v="1.001 - 5.000" u="1"/>
        <s v="501 - 1.000" u="1"/>
        <s v="1000-5000" u="1"/>
      </sharedItems>
    </cacheField>
    <cacheField name="PROVINCIA" numFmtId="0">
      <sharedItems containsBlank="1"/>
    </cacheField>
    <cacheField name="IS" numFmtId="0">
      <sharedItems containsBlank="1"/>
    </cacheField>
    <cacheField name="SITUACION" numFmtId="0">
      <sharedItems containsBlank="1"/>
    </cacheField>
    <cacheField name="COMENTARIOS" numFmtId="0">
      <sharedItems containsBlank="1"/>
    </cacheField>
    <cacheField name="AM" numFmtId="0">
      <sharedItems containsBlank="1"/>
    </cacheField>
    <cacheField name="N° DE OPORTUNIDAD" numFmtId="0">
      <sharedItems containsBlank="1"/>
    </cacheField>
    <cacheField name="STATUS" numFmtId="0">
      <sharedItems containsBlank="1"/>
    </cacheField>
    <cacheField name="MONTO COTIZADO" numFmtId="0">
      <sharedItems containsString="0" containsBlank="1" containsNumber="1" containsInteger="1" minValue="11480" maxValue="4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4.5337806713" createdVersion="8" refreshedVersion="8" minRefreshableVersion="3" recordCount="338" xr:uid="{00000000-000A-0000-FFFF-FFFFE7000000}">
  <cacheSource type="worksheet">
    <worksheetSource ref="I1:I1048576" sheet="Empresas"/>
  </cacheSource>
  <cacheFields count="15">
    <cacheField name="ID_EMPRESA" numFmtId="0">
      <sharedItems containsBlank="1"/>
    </cacheField>
    <cacheField name="EMPRESA" numFmtId="0">
      <sharedItems containsBlank="1" count="299">
        <s v="Instituto Nacional De Vitivinicultura"/>
        <s v="Dge Mendoza"/>
        <s v="La Coste De Los Andes"/>
        <s v="Universidad Nacional De Cuyo"/>
        <s v="Andesmar"/>
        <s v="Universidad De Mendoza"/>
        <s v="Municipalidad De Mendoza"/>
        <s v="O.S.E.P"/>
        <s v="Bodegas Salentein"/>
        <s v="Grupo Montes"/>
        <s v="Universidad De Congreso"/>
        <s v="Universidad Juan Agustin Maza"/>
        <s v="Hospital Privado De Mendoza"/>
        <s v="La Gaceta"/>
        <s v="Vines Of Mendoza"/>
        <s v="Westnet"/>
        <s v="Catena Zapata"/>
        <s v="Mailex"/>
        <s v="Diario Mdz"/>
        <s v="Hilton Mendoza"/>
        <s v="Grupo Lorenzo"/>
        <s v="Verallia"/>
        <s v="Ceosa"/>
        <s v="Asistir Servicios Medicos"/>
        <s v="Fuente Mayor"/>
        <s v="Saigro"/>
        <s v="Celer Internet"/>
        <s v="Emepa"/>
        <s v="Sercom"/>
        <s v="Red Mercosur"/>
        <s v="Eci Emergencias"/>
        <s v="Entre Dos"/>
        <s v="Argenfruit"/>
        <s v="Hospital Universitario"/>
        <s v="Del Plata"/>
        <s v="Grupo Huentala"/>
        <s v="Instituto Zaldivar"/>
        <s v="Jose Cartellone Const Civiles S.A."/>
        <s v="Sun Plaza Hotel (Regency Casinos)"/>
        <s v="Gobierno De La Provincia De Córdoba"/>
        <s v="Empresa Provincial De Energía De Córdoba"/>
        <s v="Ministerio De Infraestructura Y Servicios Públicos De Córdoba"/>
        <s v="Tecsa S.R.L."/>
        <s v="Dls Archer -"/>
        <s v="Vista Energy"/>
        <s v="Transportes Crexell"/>
        <s v="Banco Provincia De Neuquen"/>
        <s v="Trace Group"/>
        <s v="Poder Judicial De Neuquen"/>
        <s v="Casino Magic"/>
        <s v="Edvsa Ingenieria"/>
        <s v="Quintana Wellpro"/>
        <s v="Tsb (Transport And Services)"/>
        <s v="Bimbo Argentina"/>
        <s v="Holiday Inn Córdoba - Ceibotel Sa"/>
        <s v="Hormi-Block"/>
        <s v="Indelma S.A."/>
        <s v="Instituto Cervantes"/>
        <s v="José Freiberg S.A.C.I."/>
        <s v="Kolektor"/>
        <s v="La Piamontesa "/>
        <s v="Lorenzati Ruetsch Y Cia Sa"/>
        <s v="Maipu Automotores S.A."/>
        <s v="Manfrey Coop. De Tamb. De Com.E Ind. Ltda."/>
        <s v="Maniagro Argentina"/>
        <s v="Aceitera General Deheza"/>
        <s v="Systel"/>
        <s v="Ministerio De Hacienda Y Finanzas Gobierno De La Provincia De La Pampa"/>
        <s v="Mwm International Motores S.A."/>
        <s v="Na-Sa Nucleo Electrica Argentina S.A."/>
        <s v="Citromax Saci"/>
        <s v="Poder Legislativo De La Provincia De Cordoba"/>
        <s v="Policlinico Privado San Lucas Sa"/>
        <s v="Prodismo"/>
        <s v="Promedon S.A."/>
        <s v="Quitam S.A. - Quimex"/>
        <s v="Savant Pharm S.A."/>
        <s v="Silmag S.A."/>
        <s v="Sos Sa - Red Sos"/>
        <s v="Tersuave"/>
        <s v="Frecicar"/>
        <s v="Glenmark"/>
        <s v="Hector Castaggeroni S.A. / Altamar Yatch (Dixilina)"/>
        <s v="Molinos"/>
        <s v="Sanatorio Americano"/>
        <s v="Sanatorio Parque"/>
        <s v="Secco"/>
        <s v="Energy Consulting Group"/>
        <s v="British American Tobacco Argentina - Nobleza Piccardo"/>
        <s v="Citrusvil - Grupo Lucci"/>
        <s v="Coprotab - Cooperativa Productora Del Tabaco"/>
        <s v="Cosalta - Cooperativa Salteña De Tamberos"/>
        <s v="Naturgy (Ex Gasnor)"/>
        <s v="Gobierno De Salta"/>
        <s v="Massalin Particulares S.A."/>
        <s v="Minera Borax"/>
        <s v="Municipalidad De Tucuman"/>
        <s v="Plasticos La Rioja - Atiles Sa - Grupo Carbajal"/>
        <s v="Banco Provincia Del Neuquen S.A."/>
        <s v="Crown Casinos S.A."/>
        <s v="Edvsa"/>
        <s v="Farmacias Global"/>
        <s v="Flow Managment"/>
        <s v="Expofrut Argentina S. A."/>
        <s v="Gas Y Petroleo Del Neuquen S.A."/>
        <s v="Moño Azul S.A."/>
        <s v="Patagonia Fruits Trade S.A."/>
        <s v="Barrick Gold"/>
        <s v="Ceramica Alberdi"/>
        <s v="Banco Julio S.A."/>
        <s v="Instituto Medico Sa (Imat)"/>
        <s v="Invel Technology"/>
        <s v="Cofaloza"/>
        <s v="Municipalidad De La Ciudad De Cordoba"/>
        <s v="Poder Judicial De La Provincia De Cordoba"/>
        <s v="Prodeman S.A."/>
        <s v="Aguas Santafesinas S.A."/>
        <s v="Electronica Megatone S.A. + Conmega A.C.E. (Musimundo)"/>
        <s v="Municipalidad De Rosario"/>
        <s v="Gobierno De Neuquen - Neutics (Sapem)"/>
        <s v="Gobierno De Neuquen - Optic "/>
        <s v="Ypf "/>
        <s v="Aguas Cordobesas S.A."/>
        <s v="Compañia De Seguros El Norte S.A."/>
        <s v="Iveco Argentina S.A "/>
        <s v="Sanatorio Allende S.A."/>
        <s v="Grupo Desa"/>
        <s v="Glm"/>
        <s v="Enacom"/>
        <s v="Avalian"/>
        <s v="Banco Coinag"/>
        <s v="Banco Municipal De Rosario"/>
        <s v="Berkley Argentina Seguros"/>
        <s v="Bolsa De Comercio De Rosario"/>
        <s v="Caja Forense"/>
        <s v="Celulosa Argentina S.A."/>
        <s v="Cfn S.A. / Credito Argentino"/>
        <s v="Grupo Oroño"/>
        <s v="Grupo Gamma"/>
        <s v="Cooperativa Telefónica de Villa Gobernador Gálvez"/>
        <s v="Colinet Trotta S.A."/>
        <s v="Compañía Servicios Farmaceuticos Csf"/>
        <s v="Cotar"/>
        <s v="Editorial Diario La Capital S.A."/>
        <s v="Sportline"/>
        <s v="Grupo Pose"/>
        <s v="Emp Prov De La Energia De Santa Fe - Epe"/>
        <s v="ICSA"/>
        <s v="Federada Salud"/>
        <s v="Mercado Argentino De Valores"/>
        <s v="Grupo Edesa"/>
        <s v="Sanatorio Santa fe"/>
        <s v="Sanatorio Garay"/>
        <s v="Gaviglio"/>
        <s v="Inelro"/>
        <s v="Red Mutual"/>
        <s v="La Sibila"/>
        <s v="El Litoral"/>
        <s v="Facultad de Ciencias Agrarias"/>
        <s v="PLA"/>
        <s v="Administracion Provincial de Impuestos de la Provincia de Santa Fe"/>
        <s v="Avanzar"/>
        <s v="Garcia Hnos"/>
        <s v="Randon"/>
        <s v="Centauro"/>
        <s v="Facultad de Ciencias Economicas UNL"/>
        <s v="EnerFe"/>
        <s v="Consejo Profesional de Ciencias Economicas"/>
        <s v="Coemyc"/>
        <s v="Casino Buenos Aires"/>
        <s v="Servicios Viales"/>
        <s v="Diveria"/>
        <s v="Caja de Prevision Social de los profesionales de Ingenieria de santa fe"/>
        <s v="Praxys"/>
        <s v="Kozaca"/>
        <s v="Mutual Jerarquicos"/>
        <s v="CINTER"/>
        <s v="Renova "/>
        <s v="Gitanes"/>
        <s v="Cooperativa de Trabajos Portuarios"/>
        <s v="IRT"/>
        <s v="Black Bamboo"/>
        <s v="La Facultad de Bioquímica y Ciencias Biológicas"/>
        <s v="Don Web"/>
        <s v="Universidad Catolica de Santa Fe"/>
        <s v="Arcore"/>
        <s v="Fapersa"/>
        <s v="Administracion Provincial de Impuestos"/>
        <s v="Universidad Nacional Litoral"/>
        <s v="Grupo Pecam"/>
        <s v="Mattievich"/>
        <s v="Depor Jean"/>
        <s v="Easy Call"/>
        <s v="Gobierno de la Prov. de Santa Fe"/>
        <s v="Poder Judicial de Santa fe"/>
        <s v="Elit"/>
        <s v="Grupo Roagro"/>
        <s v="Kretz"/>
        <s v="Sotic"/>
        <s v="Alz Agro"/>
        <s v="Tecpetrol"/>
        <s v="Ecogas"/>
        <s v="Bennito Riggio e Hijos"/>
        <s v="Evoltis"/>
        <s v="Autocity"/>
        <s v="Porta Hnos"/>
        <s v="Aguas Cordobesas"/>
        <s v="Oilfield Production"/>
        <s v="Fadea"/>
        <s v="Grupo Consultores de Empresas"/>
        <s v="Caruso Seguros"/>
        <s v="Grupo Disal"/>
        <s v="Grupo Tagle"/>
        <s v="Montironi"/>
        <s v="Banco Roela"/>
        <s v="Club Atletico Talleres"/>
        <s v="Maxion Montich"/>
        <s v="Sooft Technology"/>
        <s v="Grupo Conectar"/>
        <s v="Grupo LAC"/>
        <s v="Kinectic Training"/>
        <s v="URG Urgencias"/>
        <s v="Grupo Dinosaurio"/>
        <s v="JCR SA"/>
        <s v="Grupo Edisur"/>
        <s v="Grupo Libertad"/>
        <s v="Fuesmen"/>
        <s v="Municipalidad de Guaymallén"/>
        <s v="Eramine Sudamerica"/>
        <s v="Posco Argentina"/>
        <s v="Mansfield Minera"/>
        <s v="Yacimientos Minero de Agua de Dionisio"/>
        <s v="CN Grupo"/>
        <s v="La Veloz del Norte"/>
        <s v="Familia Crestón"/>
        <s v="Quo Soluciones"/>
        <s v="Giuliani"/>
        <s v="Conicet"/>
        <s v="Vadieg"/>
        <s v="Internet para Todos"/>
        <s v="Cuyo Television"/>
        <s v="Poder Judicial de Entre Rios"/>
        <s v="Grupo Dilfer"/>
        <s v="RPB (Baggio)"/>
        <s v="Petropack"/>
        <s v="Calisa"/>
        <s v="Grupo Petro"/>
        <s v="GeoPatagonia"/>
        <s v="Foca Software"/>
        <s v="Da Fré Obras Civiles"/>
        <s v="Major Drilling"/>
        <s v="Grupo Himan"/>
        <s v="Reydi"/>
        <s v="Quinto Impacto"/>
        <s v="Awasi Mendoza"/>
        <s v="Clinica de Cuyo"/>
        <s v="Velo"/>
        <s v="BIT"/>
        <s v="Banco Santiago del Estero"/>
        <s v="Boreal "/>
        <s v="Refinor"/>
        <s v="Flacso"/>
        <s v="Castillo Sacifia"/>
        <s v="Beccar Varela"/>
        <s v="Uniber"/>
        <s v="Gasnor"/>
        <s v="La Mutual AMR"/>
        <s v="Banco Meridian"/>
        <s v="M&amp;A Equipamientos Comerciales"/>
        <s v="Argenti Lemon"/>
        <s v="Antonio Luquin"/>
        <s v="Vicente Trapani"/>
        <s v="Karatex"/>
        <s v="Grupo Bercovich"/>
        <s v="BACS"/>
        <s v="Tensolite"/>
        <s v="Afianzadora Seguros"/>
        <s v="Aguas del Tucuman"/>
        <s v="MaxiHogar"/>
        <s v="AVAL Federal"/>
        <s v="Sanatorio 9 de Julio"/>
        <s v="Epidata"/>
        <s v="AUBASA"/>
        <m/>
        <s v="A" u="1"/>
        <s v="UNLVirtual" u="1"/>
        <s v="Nubicom" u="1"/>
        <s v="Glm S.A. - Grupo Linari Micheletti" u="1"/>
        <s v="Fussetti" u="1"/>
        <s v="Facultad de Ciencias Juridicas y Sociales" u="1"/>
        <s v="Tesuque Casino" u="1"/>
        <s v="Valenziana" u="1"/>
        <s v="Grupo Escobar" u="1"/>
        <s v="Fleming y Martolio" u="1"/>
        <s v="Albardon" u="1"/>
        <s v="Uovo" u="1"/>
        <s v="FADU UNL" u="1"/>
        <s v="Fundacion Aurora" u="1"/>
        <s v="Colegio De Farmaceuticos" u="1"/>
      </sharedItems>
    </cacheField>
    <cacheField name="INDUSTRIA" numFmtId="0">
      <sharedItems containsBlank="1" count="16">
        <s v="Gobierno"/>
        <s v="Manufactura"/>
        <s v="Educación"/>
        <s v="Salud"/>
        <s v="Petroleo_Gas_Mineria"/>
        <s v="Entretenimiento"/>
        <s v="Service_Provider"/>
        <s v="Transporte_Logistica"/>
        <s v="Energia"/>
        <s v="Construccion"/>
        <s v="Banca"/>
        <s v="Automotriz"/>
        <s v="Tecnologia"/>
        <s v="Retail"/>
        <m/>
        <s v="Manufactura_Logistica" u="1"/>
      </sharedItems>
    </cacheField>
    <cacheField name="WEB" numFmtId="0">
      <sharedItems containsBlank="1"/>
    </cacheField>
    <cacheField name="REVENEW" numFmtId="0">
      <sharedItems containsBlank="1" count="18">
        <s v="SIN DATOS"/>
        <s v="50M-100M"/>
        <s v="250M-500M"/>
        <s v="100M-250M"/>
        <s v="1B-10B"/>
        <s v="10M-50M"/>
        <s v="1M-10M"/>
        <s v="5M-10M"/>
        <s v="500M-1B"/>
        <m/>
        <s v="S/D" u="1"/>
        <s v="500M+" u="1"/>
        <s v="$250M - $500M" u="1"/>
        <s v="$50M - $100M" u="1"/>
        <s v="$100M - $250M" u="1"/>
        <s v="$1B - $10B" u="1"/>
        <s v="$10M - $50M" u="1"/>
        <s v="$1M - $10M" u="1"/>
      </sharedItems>
    </cacheField>
    <cacheField name="REVENEW USD" numFmtId="0">
      <sharedItems containsBlank="1"/>
    </cacheField>
    <cacheField name="EMPLEADOS" numFmtId="0">
      <sharedItems containsBlank="1"/>
    </cacheField>
    <cacheField name="PROVINCIA" numFmtId="0">
      <sharedItems containsBlank="1" count="14">
        <s v="Mendoza"/>
        <s v="Cordoba"/>
        <s v="Neuquen"/>
        <s v="Buenos_Aires"/>
        <s v="La_Pampa"/>
        <s v="Santa_Fe"/>
        <s v="Tucuman "/>
        <s v="Salta"/>
        <s v="Rio_Negro"/>
        <s v="La_Rioja"/>
        <s v="Entre_Rios"/>
        <s v="Santa_Cruz"/>
        <s v="Santiago_del_Estero"/>
        <m/>
      </sharedItems>
    </cacheField>
    <cacheField name="IS" numFmtId="0">
      <sharedItems containsBlank="1"/>
    </cacheField>
    <cacheField name="SITUACION" numFmtId="0">
      <sharedItems containsBlank="1" count="6">
        <s v="Prospectando"/>
        <s v="Reunion Agendada"/>
        <s v="No interesado"/>
        <s v="Cotizado"/>
        <s v="Competencia"/>
        <m/>
      </sharedItems>
    </cacheField>
    <cacheField name="COMENTARIOS" numFmtId="0">
      <sharedItems containsBlank="1"/>
    </cacheField>
    <cacheField name="AM" numFmtId="0">
      <sharedItems containsBlank="1"/>
    </cacheField>
    <cacheField name="N° DE OPORTUNIDAD" numFmtId="0">
      <sharedItems containsBlank="1"/>
    </cacheField>
    <cacheField name="STATUS" numFmtId="0">
      <sharedItems containsBlank="1"/>
    </cacheField>
    <cacheField name="MONTO COTIZADO" numFmtId="0">
      <sharedItems containsString="0" containsBlank="1" containsNumber="1" containsInteger="1" minValue="11480" maxValue="4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5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0"/>
  </r>
  <r>
    <x v="3"/>
    <x v="3"/>
  </r>
  <r>
    <x v="8"/>
    <x v="7"/>
  </r>
  <r>
    <x v="9"/>
    <x v="8"/>
  </r>
  <r>
    <x v="10"/>
    <x v="9"/>
  </r>
  <r>
    <x v="11"/>
    <x v="10"/>
  </r>
  <r>
    <x v="12"/>
    <x v="11"/>
  </r>
  <r>
    <x v="13"/>
    <x v="12"/>
  </r>
</pivotCacheRecords>
</file>

<file path=xl/pivotCache/pivotCacheRecords2.xml><?xml version="1.0" encoding="utf-8"?>
<pivotCacheRecords xmlns="http://schemas.openxmlformats.org/spreadsheetml/2006/main" count="15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0"/>
  </r>
  <r>
    <x v="3"/>
    <x v="3"/>
  </r>
  <r>
    <x v="8"/>
    <x v="7"/>
  </r>
  <r>
    <x v="9"/>
    <x v="8"/>
  </r>
  <r>
    <x v="10"/>
    <x v="9"/>
  </r>
  <r>
    <x v="11"/>
    <x v="10"/>
  </r>
  <r>
    <x v="12"/>
    <x v="11"/>
  </r>
  <r>
    <x v="13"/>
    <x v="12"/>
  </r>
</pivotCacheRecords>
</file>

<file path=xl/pivotCache/pivotCacheRecords3.xml><?xml version="1.0" encoding="utf-8"?>
<pivotCacheRecords xmlns="http://schemas.openxmlformats.org/spreadsheetml/2006/main" count="15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0"/>
  </r>
  <r>
    <x v="3"/>
    <x v="3"/>
  </r>
  <r>
    <x v="8"/>
    <x v="7"/>
  </r>
  <r>
    <x v="9"/>
    <x v="8"/>
  </r>
  <r>
    <x v="10"/>
    <x v="9"/>
  </r>
  <r>
    <x v="11"/>
    <x v="10"/>
  </r>
  <r>
    <x v="12"/>
    <x v="11"/>
  </r>
  <r>
    <x v="13"/>
    <x v="12"/>
  </r>
</pivotCacheRecords>
</file>

<file path=xl/pivotCache/pivotCacheRecords4.xml><?xml version="1.0" encoding="utf-8"?>
<pivotCacheRecords xmlns="http://schemas.openxmlformats.org/spreadsheetml/2006/main" count="15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0"/>
  </r>
  <r>
    <x v="3"/>
    <x v="3"/>
  </r>
  <r>
    <x v="8"/>
    <x v="7"/>
  </r>
  <r>
    <x v="9"/>
    <x v="8"/>
  </r>
  <r>
    <x v="10"/>
    <x v="9"/>
  </r>
  <r>
    <x v="11"/>
    <x v="10"/>
  </r>
  <r>
    <x v="12"/>
    <x v="11"/>
  </r>
  <r>
    <x v="13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TablaDinámica3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">
  <location ref="M102:AB117" firstHeaderRow="1" firstDataRow="2" firstDataCol="1"/>
  <pivotFields count="2">
    <pivotField axis="axisCol" compact="0" outline="0" showAll="0">
      <items count="15">
        <item x="10"/>
        <item x="8"/>
        <item x="0"/>
        <item x="1"/>
        <item x="2"/>
        <item x="9"/>
        <item x="11"/>
        <item x="12"/>
        <item x="4"/>
        <item x="5"/>
        <item x="6"/>
        <item x="13"/>
        <item x="7"/>
        <item x="3"/>
        <item t="default"/>
      </items>
    </pivotField>
    <pivotField axis="axisRow" compact="0" outline="0" showAll="0">
      <items count="14">
        <item x="1"/>
        <item x="8"/>
        <item x="0"/>
        <item x="4"/>
        <item x="6"/>
        <item x="10"/>
        <item x="12"/>
        <item x="9"/>
        <item x="2"/>
        <item x="11"/>
        <item x="5"/>
        <item x="3"/>
        <item x="7"/>
        <item t="default"/>
      </items>
    </pivotField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TablaDiná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45:M61" firstHeaderRow="1" firstDataRow="2" firstDataCol="1"/>
  <pivotFields count="15">
    <pivotField compact="0" outline="0" showAll="0"/>
    <pivotField dataField="1" compact="0" outline="0" showAll="0"/>
    <pivotField axis="axisRow" compact="0" outline="0" showAll="0">
      <items count="17">
        <item x="11"/>
        <item x="10"/>
        <item x="9"/>
        <item x="2"/>
        <item x="8"/>
        <item x="5"/>
        <item x="0"/>
        <item x="1"/>
        <item m="1" x="15"/>
        <item x="4"/>
        <item x="13"/>
        <item x="3"/>
        <item x="6"/>
        <item x="12"/>
        <item x="7"/>
        <item x="14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13">
        <item x="1"/>
        <item x="7"/>
        <item x="6"/>
        <item x="0"/>
        <item x="4"/>
        <item x="10"/>
        <item x="2"/>
        <item x="3"/>
        <item x="5"/>
        <item x="8"/>
        <item x="9"/>
        <item h="1"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6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uenta de EMPRESA" fld="1" subtotal="count" baseField="0" baseItem="0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M19" firstHeaderRow="1" firstDataRow="2" firstDataCol="1"/>
  <pivotFields count="15">
    <pivotField compact="0" outline="0" showAll="0"/>
    <pivotField dataField="1" compact="0" outline="0" showAll="0"/>
    <pivotField axis="axisRow" compact="0" outline="0" subtotalTop="0" multipleItemSelectionAllowed="1" showAll="0" defaultSubtotal="0">
      <items count="16">
        <item x="11"/>
        <item x="10"/>
        <item x="9"/>
        <item x="2"/>
        <item x="8"/>
        <item x="5"/>
        <item x="0"/>
        <item x="1"/>
        <item m="1" x="15"/>
        <item x="4"/>
        <item x="3"/>
        <item x="6"/>
        <item x="12"/>
        <item x="7"/>
        <item h="1" x="14"/>
        <item x="13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16">
        <item x="1"/>
        <item m="1" x="12"/>
        <item x="7"/>
        <item m="1" x="14"/>
        <item x="6"/>
        <item x="0"/>
        <item x="4"/>
        <item x="10"/>
        <item x="2"/>
        <item m="1" x="13"/>
        <item x="3"/>
        <item x="5"/>
        <item x="8"/>
        <item h="1" x="9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5"/>
    </i>
    <i t="grand">
      <x/>
    </i>
  </rowItems>
  <colFields count="1">
    <field x="6"/>
  </colFields>
  <colItems count="12">
    <i>
      <x/>
    </i>
    <i>
      <x v="2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4"/>
    </i>
    <i t="grand">
      <x/>
    </i>
  </colItems>
  <dataFields count="1">
    <dataField name="Cuenta de EMPRESA" fld="1" subtotal="count" baseField="0" baseItem="0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3000000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A3:J19" firstHeaderRow="1" firstDataRow="2" firstDataCol="1"/>
  <pivotFields count="15">
    <pivotField compact="0" outline="0" showAll="0"/>
    <pivotField dataField="1" compact="0" outline="0" showAll="0"/>
    <pivotField axis="axisRow" compact="0" outline="0" showAll="0">
      <items count="17">
        <item x="11"/>
        <item x="10"/>
        <item x="9"/>
        <item x="2"/>
        <item x="8"/>
        <item x="5"/>
        <item x="0"/>
        <item x="1"/>
        <item m="1" x="15"/>
        <item x="4"/>
        <item x="13"/>
        <item x="3"/>
        <item x="6"/>
        <item x="12"/>
        <item x="7"/>
        <item x="14"/>
        <item t="default"/>
      </items>
    </pivotField>
    <pivotField compact="0" outline="0" showAll="0"/>
    <pivotField axis="axisCol" compact="0" outline="0" showAll="0">
      <items count="19">
        <item m="1" x="14"/>
        <item m="1" x="16"/>
        <item m="1" x="15"/>
        <item m="1" x="17"/>
        <item m="1" x="12"/>
        <item m="1" x="13"/>
        <item x="3"/>
        <item x="5"/>
        <item x="4"/>
        <item x="6"/>
        <item x="2"/>
        <item m="1" x="11"/>
        <item x="8"/>
        <item x="1"/>
        <item x="7"/>
        <item h="1" m="1" x="10"/>
        <item h="1" x="0"/>
        <item h="1"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4"/>
  </colFields>
  <colItems count="9"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 t="grand">
      <x/>
    </i>
  </colItems>
  <dataFields count="1">
    <dataField name="Cuenta de EMPRESA" fld="1" subtotal="count" baseField="0" baseItem="0"/>
  </dataFields>
  <chartFormats count="15"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</chart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5000000}" name="TablaDinámica2" cacheId="7" applyNumberFormats="0" applyBorderFormats="0" applyFontFormats="0" applyPatternFormats="0" applyAlignmentFormats="0" applyWidthHeightFormats="1" dataCaption="Valores" grandTotalCaption="TOTA GENERAL" updatedVersion="8" minRefreshableVersion="3" useAutoFormatting="1" itemPrintTitles="1" createdVersion="8" indent="0" compact="0" compactData="0" multipleFieldFilters="0">
  <location ref="A22:G37" firstHeaderRow="1" firstDataRow="2" firstDataCol="1"/>
  <pivotFields count="15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3"/>
        <item x="1"/>
        <item x="4"/>
        <item x="0"/>
        <item x="2"/>
        <item x="8"/>
        <item x="7"/>
        <item x="5"/>
        <item x="6"/>
        <item x="13"/>
        <item x="9"/>
        <item x="10"/>
        <item x="12"/>
        <item x="11"/>
        <item t="default"/>
      </items>
    </pivotField>
    <pivotField compact="0" outline="0" showAll="0"/>
    <pivotField axis="axisCol" compact="0" outline="0" showAll="0">
      <items count="7">
        <item x="4"/>
        <item x="3"/>
        <item x="2"/>
        <item x="0"/>
        <item x="1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uenta de EMPRESA" fld="1" subtotal="count" baseField="0" baseItem="0"/>
  </dataFields>
  <formats count="2">
    <format dxfId="28">
      <pivotArea dataOnly="0" labelOnly="1" outline="0" fieldPosition="0">
        <references count="1">
          <reference field="7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7">
      <pivotArea dataOnly="0" labelOnly="1" outline="0" fieldPosition="0">
        <references count="1">
          <reference field="7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400000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4">
  <location ref="A5:B11" firstHeaderRow="1" firstDataRow="1" firstDataCol="1" rowPageCount="1" colPageCount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15">
        <item x="3"/>
        <item x="1"/>
        <item x="4"/>
        <item x="0"/>
        <item x="2"/>
        <item x="8"/>
        <item x="7"/>
        <item x="5"/>
        <item x="6"/>
        <item x="13"/>
        <item x="9"/>
        <item x="10"/>
        <item x="12"/>
        <item x="11"/>
        <item t="default"/>
      </items>
    </pivotField>
    <pivotField compact="0" outline="0" showAll="0"/>
    <pivotField axis="axisRow" dataField="1" compact="0" outline="0" showAll="0">
      <items count="10">
        <item x="3"/>
        <item m="1" x="8"/>
        <item x="2"/>
        <item x="0"/>
        <item m="1" x="7"/>
        <item x="1"/>
        <item h="1" x="5"/>
        <item m="1" x="6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6">
    <i>
      <x/>
    </i>
    <i>
      <x v="2"/>
    </i>
    <i>
      <x v="3"/>
    </i>
    <i>
      <x v="5"/>
    </i>
    <i>
      <x v="8"/>
    </i>
    <i t="grand">
      <x/>
    </i>
  </rowItems>
  <colItems count="1">
    <i/>
  </colItems>
  <pageFields count="1">
    <pageField fld="7" hier="-1"/>
  </pageFields>
  <dataFields count="1">
    <dataField name="Cuenta de SITUACION" fld="9" subtotal="count" baseField="0" baseItem="0"/>
  </dataFields>
  <chartFormats count="8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</chart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6000000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W36" firstHeaderRow="1" firstDataRow="3" firstDataCol="1" rowPageCount="1" colPageCount="1"/>
  <pivotFields count="15">
    <pivotField compact="0" outline="0" showAll="0"/>
    <pivotField axis="axisRow" dataField="1" compact="0" outline="0" showAll="0">
      <items count="300">
        <item x="65"/>
        <item x="160"/>
        <item x="122"/>
        <item x="116"/>
        <item x="4"/>
        <item x="32"/>
        <item x="23"/>
        <item x="129"/>
        <item x="161"/>
        <item x="130"/>
        <item x="109"/>
        <item x="131"/>
        <item x="46"/>
        <item x="98"/>
        <item x="107"/>
        <item x="132"/>
        <item x="53"/>
        <item x="8"/>
        <item x="133"/>
        <item x="88"/>
        <item x="134"/>
        <item x="49"/>
        <item x="16"/>
        <item x="26"/>
        <item x="135"/>
        <item x="22"/>
        <item x="108"/>
        <item x="136"/>
        <item x="70"/>
        <item x="89"/>
        <item x="112"/>
        <item m="1" x="298"/>
        <item x="140"/>
        <item x="123"/>
        <item x="141"/>
        <item x="90"/>
        <item x="91"/>
        <item x="142"/>
        <item x="99"/>
        <item x="34"/>
        <item x="1"/>
        <item x="18"/>
        <item x="43"/>
        <item x="30"/>
        <item x="143"/>
        <item x="100"/>
        <item x="50"/>
        <item x="157"/>
        <item x="117"/>
        <item x="27"/>
        <item x="146"/>
        <item x="40"/>
        <item x="128"/>
        <item x="87"/>
        <item x="31"/>
        <item x="103"/>
        <item x="158"/>
        <item x="101"/>
        <item x="148"/>
        <item x="102"/>
        <item x="80"/>
        <item x="24"/>
        <item m="1" x="288"/>
        <item x="162"/>
        <item x="104"/>
        <item x="153"/>
        <item x="81"/>
        <item x="127"/>
        <item m="1" x="287"/>
        <item x="39"/>
        <item x="119"/>
        <item x="120"/>
        <item x="93"/>
        <item x="126"/>
        <item x="150"/>
        <item x="138"/>
        <item x="35"/>
        <item x="20"/>
        <item x="9"/>
        <item x="137"/>
        <item x="145"/>
        <item x="82"/>
        <item x="19"/>
        <item x="54"/>
        <item x="55"/>
        <item x="12"/>
        <item x="33"/>
        <item x="147"/>
        <item x="56"/>
        <item x="154"/>
        <item x="57"/>
        <item x="110"/>
        <item x="0"/>
        <item x="36"/>
        <item x="111"/>
        <item x="124"/>
        <item x="37"/>
        <item x="58"/>
        <item x="59"/>
        <item x="2"/>
        <item x="13"/>
        <item x="60"/>
        <item x="156"/>
        <item x="61"/>
        <item x="17"/>
        <item x="62"/>
        <item x="63"/>
        <item x="64"/>
        <item x="94"/>
        <item x="149"/>
        <item x="95"/>
        <item x="67"/>
        <item x="41"/>
        <item x="83"/>
        <item x="105"/>
        <item x="113"/>
        <item x="6"/>
        <item x="118"/>
        <item x="96"/>
        <item x="68"/>
        <item x="69"/>
        <item x="92"/>
        <item x="7"/>
        <item x="106"/>
        <item x="159"/>
        <item x="97"/>
        <item x="114"/>
        <item x="48"/>
        <item x="71"/>
        <item x="72"/>
        <item x="115"/>
        <item x="73"/>
        <item x="74"/>
        <item x="51"/>
        <item x="75"/>
        <item x="163"/>
        <item x="29"/>
        <item x="155"/>
        <item x="25"/>
        <item x="125"/>
        <item x="84"/>
        <item x="152"/>
        <item x="85"/>
        <item x="151"/>
        <item x="76"/>
        <item x="86"/>
        <item x="28"/>
        <item x="77"/>
        <item x="78"/>
        <item x="144"/>
        <item x="38"/>
        <item x="66"/>
        <item x="42"/>
        <item x="79"/>
        <item x="47"/>
        <item x="45"/>
        <item x="52"/>
        <item x="10"/>
        <item x="5"/>
        <item x="11"/>
        <item x="3"/>
        <item x="21"/>
        <item x="14"/>
        <item x="44"/>
        <item x="15"/>
        <item x="121"/>
        <item x="283"/>
        <item x="165"/>
        <item x="166"/>
        <item m="1" x="289"/>
        <item x="168"/>
        <item m="1" x="290"/>
        <item m="1" x="291"/>
        <item m="1" x="292"/>
        <item m="1" x="293"/>
        <item m="1" x="294"/>
        <item m="1" x="295"/>
        <item x="175"/>
        <item x="176"/>
        <item x="177"/>
        <item x="178"/>
        <item x="179"/>
        <item m="1" x="296"/>
        <item x="181"/>
        <item x="182"/>
        <item m="1" x="297"/>
        <item x="184"/>
        <item x="185"/>
        <item x="186"/>
        <item x="187"/>
        <item x="188"/>
        <item x="189"/>
        <item x="190"/>
        <item m="1" x="285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139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sd="0" x="221"/>
        <item x="222"/>
        <item x="223"/>
        <item x="224"/>
        <item x="225"/>
        <item x="226"/>
        <item x="227"/>
        <item x="164"/>
        <item x="167"/>
        <item x="169"/>
        <item x="170"/>
        <item x="171"/>
        <item x="172"/>
        <item x="173"/>
        <item x="174"/>
        <item x="180"/>
        <item x="183"/>
        <item x="228"/>
        <item x="229"/>
        <item x="230"/>
        <item x="231"/>
        <item x="232"/>
        <item x="233"/>
        <item x="234"/>
        <item m="1" x="286"/>
        <item x="191"/>
        <item x="235"/>
        <item x="236"/>
        <item x="237"/>
        <item x="238"/>
        <item x="239"/>
        <item x="240"/>
        <item m="1" x="284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41"/>
        <item x="242"/>
        <item x="243"/>
        <item x="244"/>
        <item x="245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46"/>
        <item x="247"/>
        <item x="275"/>
        <item x="276"/>
        <item x="277"/>
        <item x="278"/>
        <item x="279"/>
        <item x="280"/>
        <item x="281"/>
        <item x="282"/>
        <item t="default"/>
      </items>
    </pivotField>
    <pivotField axis="axisPage" compact="0" outline="0" multipleItemSelectionAllowed="1" showAll="0">
      <items count="17">
        <item h="1" x="11"/>
        <item h="1" x="10"/>
        <item h="1" x="9"/>
        <item h="1" x="2"/>
        <item h="1" x="8"/>
        <item h="1" x="5"/>
        <item h="1" x="0"/>
        <item x="1"/>
        <item h="1" m="1" x="15"/>
        <item h="1" x="4"/>
        <item h="1" x="13"/>
        <item h="1" x="3"/>
        <item h="1" x="6"/>
        <item h="1" x="12"/>
        <item h="1" x="7"/>
        <item h="1" x="14"/>
        <item t="default"/>
      </items>
    </pivotField>
    <pivotField compact="0" outline="0" showAll="0"/>
    <pivotField axis="axisCol" compact="0" outline="0" showAll="0">
      <items count="19">
        <item h="1" m="1" x="14"/>
        <item h="1" m="1" x="16"/>
        <item h="1" m="1" x="15"/>
        <item h="1" m="1" x="17"/>
        <item h="1" m="1" x="12"/>
        <item h="1" m="1" x="13"/>
        <item x="3"/>
        <item h="1" x="5"/>
        <item x="4"/>
        <item h="1" x="6"/>
        <item x="2"/>
        <item h="1" m="1" x="11"/>
        <item x="8"/>
        <item x="1"/>
        <item h="1" x="7"/>
        <item h="1" m="1" x="10"/>
        <item h="1" x="0"/>
        <item h="1" x="9"/>
        <item t="default"/>
      </items>
    </pivotField>
    <pivotField compact="0" outline="0" showAll="0"/>
    <pivotField compact="0" outline="0" showAll="0"/>
    <pivotField axis="axisCol" compact="0" outline="0" showAll="0">
      <items count="15">
        <item x="3"/>
        <item x="1"/>
        <item x="4"/>
        <item x="0"/>
        <item x="2"/>
        <item x="8"/>
        <item x="7"/>
        <item x="5"/>
        <item x="6"/>
        <item x="13"/>
        <item x="9"/>
        <item x="10"/>
        <item x="12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31">
    <i>
      <x v="4"/>
    </i>
    <i>
      <x v="5"/>
    </i>
    <i>
      <x v="16"/>
    </i>
    <i>
      <x v="17"/>
    </i>
    <i>
      <x v="22"/>
    </i>
    <i>
      <x v="29"/>
    </i>
    <i>
      <x v="34"/>
    </i>
    <i>
      <x v="35"/>
    </i>
    <i>
      <x v="48"/>
    </i>
    <i>
      <x v="55"/>
    </i>
    <i>
      <x v="63"/>
    </i>
    <i>
      <x v="77"/>
    </i>
    <i>
      <x v="87"/>
    </i>
    <i>
      <x v="99"/>
    </i>
    <i>
      <x v="102"/>
    </i>
    <i>
      <x v="107"/>
    </i>
    <i>
      <x v="113"/>
    </i>
    <i>
      <x v="114"/>
    </i>
    <i>
      <x v="130"/>
    </i>
    <i>
      <x v="151"/>
    </i>
    <i>
      <x v="153"/>
    </i>
    <i>
      <x v="161"/>
    </i>
    <i>
      <x v="162"/>
    </i>
    <i>
      <x v="180"/>
    </i>
    <i>
      <x v="192"/>
    </i>
    <i>
      <x v="208"/>
    </i>
    <i>
      <x v="211"/>
    </i>
    <i>
      <x v="214"/>
    </i>
    <i>
      <x v="219"/>
    </i>
    <i>
      <x v="283"/>
    </i>
    <i t="grand">
      <x/>
    </i>
  </rowItems>
  <colFields count="2">
    <field x="4"/>
    <field x="7"/>
  </colFields>
  <colItems count="22">
    <i>
      <x v="6"/>
      <x v="1"/>
    </i>
    <i r="1">
      <x v="3"/>
    </i>
    <i r="1">
      <x v="5"/>
    </i>
    <i r="1">
      <x v="6"/>
    </i>
    <i r="1">
      <x v="7"/>
    </i>
    <i t="default">
      <x v="6"/>
    </i>
    <i>
      <x v="8"/>
      <x v="3"/>
    </i>
    <i r="1">
      <x v="7"/>
    </i>
    <i t="default">
      <x v="8"/>
    </i>
    <i>
      <x v="10"/>
      <x v="3"/>
    </i>
    <i r="1">
      <x v="8"/>
    </i>
    <i t="default">
      <x v="10"/>
    </i>
    <i>
      <x v="12"/>
      <x v="1"/>
    </i>
    <i t="default">
      <x v="12"/>
    </i>
    <i>
      <x v="13"/>
      <x/>
    </i>
    <i r="1">
      <x v="1"/>
    </i>
    <i r="1">
      <x v="3"/>
    </i>
    <i r="1">
      <x v="5"/>
    </i>
    <i r="1">
      <x v="7"/>
    </i>
    <i r="1">
      <x v="8"/>
    </i>
    <i t="default">
      <x v="13"/>
    </i>
    <i t="grand">
      <x/>
    </i>
  </colItems>
  <pageFields count="1">
    <pageField fld="2" hier="-1"/>
  </pageFields>
  <dataFields count="1">
    <dataField name="Cuenta de EMPRESA" fld="1" subtotal="count" baseField="0" baseItem="0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mpresas" displayName="tblEmpresas" ref="A1:O405" totalsRowShown="0" headerRowDxfId="80" dataDxfId="79">
  <autoFilter ref="A1:O405" xr:uid="{00000000-0009-0000-0100-000001000000}"/>
  <tableColumns count="15">
    <tableColumn id="1" xr3:uid="{00000000-0010-0000-0000-000001000000}" name="ID_EMPRESA" dataDxfId="78">
      <calculatedColumnFormula>_xlfn.CONCAT("E",TEXT(ROW()-1,"000"))</calculatedColumnFormula>
    </tableColumn>
    <tableColumn id="2" xr3:uid="{00000000-0010-0000-0000-000002000000}" name="EMPRESA" dataDxfId="77"/>
    <tableColumn id="15" xr3:uid="{00000000-0010-0000-0000-00000F000000}" name="INDUSTRIA" dataDxfId="76"/>
    <tableColumn id="3" xr3:uid="{00000000-0010-0000-0000-000003000000}" name="WEB" dataDxfId="75"/>
    <tableColumn id="13" xr3:uid="{00000000-0010-0000-0000-00000D000000}" name="REVENEW" dataDxfId="74"/>
    <tableColumn id="9" xr3:uid="{00000000-0010-0000-0000-000009000000}" name="REVENEW USD" dataDxfId="73"/>
    <tableColumn id="14" xr3:uid="{00000000-0010-0000-0000-00000E000000}" name="EMPLEADOS" dataDxfId="72"/>
    <tableColumn id="4" xr3:uid="{00000000-0010-0000-0000-000004000000}" name="PROVINCIA" dataDxfId="71"/>
    <tableColumn id="5" xr3:uid="{00000000-0010-0000-0000-000005000000}" name="IS" dataDxfId="70"/>
    <tableColumn id="6" xr3:uid="{00000000-0010-0000-0000-000006000000}" name="SITUACION" dataDxfId="69"/>
    <tableColumn id="8" xr3:uid="{00000000-0010-0000-0000-000008000000}" name="COMENTARIOS" dataDxfId="68"/>
    <tableColumn id="7" xr3:uid="{00000000-0010-0000-0000-000007000000}" name="AM" dataDxfId="67"/>
    <tableColumn id="10" xr3:uid="{00000000-0010-0000-0000-00000A000000}" name="N° DE OPORTUNIDAD" dataDxfId="66"/>
    <tableColumn id="11" xr3:uid="{00000000-0010-0000-0000-00000B000000}" name="STATUS" dataDxfId="65"/>
    <tableColumn id="12" xr3:uid="{00000000-0010-0000-0000-00000C000000}" name="MONTO COTIZADO" dataDxfId="6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ontactos" displayName="tblContactos" ref="A1:K797">
  <autoFilter ref="A1:K797" xr:uid="{00000000-0009-0000-0100-000002000000}"/>
  <tableColumns count="11">
    <tableColumn id="1" xr3:uid="{00000000-0010-0000-0100-000001000000}" name="ID Contacto" totalsRowLabel="Total" dataDxfId="63" totalsRowDxfId="62">
      <calculatedColumnFormula>_xlfn.CONCAT("C",TEXT(ROW()-1,"000"))</calculatedColumnFormula>
    </tableColumn>
    <tableColumn id="2" xr3:uid="{00000000-0010-0000-0100-000002000000}" name="ID_Empresa" dataDxfId="61" totalsRowDxfId="60"/>
    <tableColumn id="9" xr3:uid="{00000000-0010-0000-0100-000009000000}" name="EMPRESA" dataDxfId="59" totalsRowDxfId="58"/>
    <tableColumn id="3" xr3:uid="{00000000-0010-0000-0100-000003000000}" name="NOMBRE" dataDxfId="57" totalsRowDxfId="56"/>
    <tableColumn id="4" xr3:uid="{00000000-0010-0000-0100-000004000000}" name="PUESTO" dataDxfId="55" totalsRowDxfId="54"/>
    <tableColumn id="5" xr3:uid="{00000000-0010-0000-0100-000005000000}" name="EMAIL" dataDxfId="53" totalsRowDxfId="52"/>
    <tableColumn id="6" xr3:uid="{00000000-0010-0000-0100-000006000000}" name="TELEFONO" totalsRowDxfId="51"/>
    <tableColumn id="7" xr3:uid="{00000000-0010-0000-0100-000007000000}" name="LINKEDIN" dataDxfId="50" totalsRowDxfId="49"/>
    <tableColumn id="8" xr3:uid="{00000000-0010-0000-0100-000008000000}" name="COMENTARIO" dataDxfId="48" totalsRowDxfId="47"/>
    <tableColumn id="10" xr3:uid="{00000000-0010-0000-0100-00000A000000}" name="IC N°" dataDxfId="46" totalsRowDxfId="45"/>
    <tableColumn id="12" xr3:uid="{00000000-0010-0000-0100-00000C000000}" name="SALESFORCE STATUS" totalsRowFunction="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1" displayName="Tabla1" ref="R4:T19" totalsRowShown="0" headerRowDxfId="44" headerRowBorderDxfId="43" tableBorderDxfId="42" totalsRowBorderDxfId="41">
  <autoFilter ref="R4:T19" xr:uid="{00000000-0009-0000-0100-000003000000}"/>
  <sortState xmlns:xlrd2="http://schemas.microsoft.com/office/spreadsheetml/2017/richdata2" ref="R5:T19">
    <sortCondition ref="T4:T19"/>
  </sortState>
  <tableColumns count="3">
    <tableColumn id="1" xr3:uid="{00000000-0010-0000-0200-000001000000}" name="INDUSTRIA" dataDxfId="40"/>
    <tableColumn id="2" xr3:uid="{00000000-0010-0000-0200-000002000000}" name="EMPRESAS POR INDUSTRIA" dataDxfId="39"/>
    <tableColumn id="3" xr3:uid="{00000000-0010-0000-0200-000003000000}" name="PROMEDIO EMPLEADOS" dataDxfId="3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16" displayName="Tabla16" ref="P45:S60" totalsRowShown="0" headerRowDxfId="37" headerRowBorderDxfId="36" tableBorderDxfId="35" totalsRowBorderDxfId="34">
  <autoFilter ref="P45:S60" xr:uid="{00000000-0009-0000-0100-000004000000}"/>
  <tableColumns count="4">
    <tableColumn id="1" xr3:uid="{00000000-0010-0000-0300-000001000000}" name="INDUSTRIA" dataDxfId="33"/>
    <tableColumn id="2" xr3:uid="{00000000-0010-0000-0300-000002000000}" name="EMPRESAS POR INDUSTRIA" dataDxfId="32"/>
    <tableColumn id="3" xr3:uid="{00000000-0010-0000-0300-000003000000}" name="PROMEDIO EMPLEADOS" dataDxfId="31"/>
    <tableColumn id="4" xr3:uid="{00000000-0010-0000-0300-000004000000}" name="Columna1" dataDxfId="30">
      <calculatedColumnFormula>Q46 &amp; " empresas | " &amp; R46 &amp; " emp"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4" displayName="Tabla4" ref="S3:U19" totalsRowShown="0" headerRowDxfId="29">
  <autoFilter ref="S3:U19" xr:uid="{00000000-0009-0000-0100-000005000000}"/>
  <sortState xmlns:xlrd2="http://schemas.microsoft.com/office/spreadsheetml/2017/richdata2" ref="S4:U19">
    <sortCondition ref="U3:U19"/>
  </sortState>
  <tableColumns count="3">
    <tableColumn id="1" xr3:uid="{00000000-0010-0000-0400-000001000000}" name="Industria"/>
    <tableColumn id="2" xr3:uid="{00000000-0010-0000-0400-000002000000}" name="Revenue máximo"/>
    <tableColumn id="3" xr3:uid="{00000000-0010-0000-0400-000003000000}" name="Nive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7" displayName="Tabla7" ref="B2:G8" totalsRowShown="0" headerRowDxfId="26">
  <autoFilter ref="B2:G8" xr:uid="{00000000-0009-0000-0100-000006000000}"/>
  <sortState xmlns:xlrd2="http://schemas.microsoft.com/office/spreadsheetml/2017/richdata2" ref="B3:G8">
    <sortCondition ref="B2:B8"/>
  </sortState>
  <tableColumns count="6">
    <tableColumn id="6" xr3:uid="{00000000-0010-0000-0500-000006000000}" name="IS" dataDxfId="25"/>
    <tableColumn id="1" xr3:uid="{00000000-0010-0000-0500-000001000000}" name="EMPRESA"/>
    <tableColumn id="2" xr3:uid="{00000000-0010-0000-0500-000002000000}" name="INDUSTRIA" dataDxfId="24"/>
    <tableColumn id="3" xr3:uid="{00000000-0010-0000-0500-000003000000}" name="N° DE OPORTUNIDAD"/>
    <tableColumn id="4" xr3:uid="{00000000-0010-0000-0500-000004000000}" name="STATUS" dataDxfId="23"/>
    <tableColumn id="5" xr3:uid="{00000000-0010-0000-0500-000005000000}" name="MONTO COTIZADO" dataDxfId="2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77" displayName="Tabla77" ref="B12:F17" totalsRowShown="0" headerRowDxfId="21">
  <autoFilter ref="B12:F17" xr:uid="{00000000-0009-0000-0100-000007000000}"/>
  <tableColumns count="5">
    <tableColumn id="1" xr3:uid="{00000000-0010-0000-0600-000001000000}" name="EMPRESA"/>
    <tableColumn id="2" xr3:uid="{00000000-0010-0000-0600-000002000000}" name="INDUSTRIA" dataDxfId="20"/>
    <tableColumn id="3" xr3:uid="{00000000-0010-0000-0600-000003000000}" name="N° DE OPORTUNIDAD"/>
    <tableColumn id="4" xr3:uid="{00000000-0010-0000-0600-000004000000}" name="STATUS" dataDxfId="19"/>
    <tableColumn id="5" xr3:uid="{00000000-0010-0000-0600-000005000000}" name="MONTO COTIZADO" dataDxfId="1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8" displayName="Tabla8" ref="A12:A17" totalsRowShown="0">
  <autoFilter ref="A12:A17" xr:uid="{00000000-0009-0000-0100-000008000000}"/>
  <tableColumns count="1">
    <tableColumn id="1" xr3:uid="{00000000-0010-0000-0700-000001000000}" name="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a11" displayName="Tabla11" ref="A1:F79" totalsRowShown="0" headerRowDxfId="17">
  <autoFilter ref="A1:F79" xr:uid="{00000000-0009-0000-0100-000009000000}"/>
  <tableColumns count="6">
    <tableColumn id="3" xr3:uid="{00000000-0010-0000-0800-000003000000}" name="IS" dataDxfId="16"/>
    <tableColumn id="1" xr3:uid="{00000000-0010-0000-0800-000001000000}" name="MES" dataDxfId="15"/>
    <tableColumn id="6" xr3:uid="{00000000-0010-0000-0800-000006000000}" name="EMPRESA" dataDxfId="14"/>
    <tableColumn id="2" xr3:uid="{00000000-0010-0000-0800-000002000000}" name="URL" dataDxfId="13"/>
    <tableColumn id="4" xr3:uid="{00000000-0010-0000-0800-000004000000}" name="COMENTARIO" dataDxfId="12"/>
    <tableColumn id="5" xr3:uid="{00000000-0010-0000-0800-000005000000}" name="CALIFICADO" dataDxfId="1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a10" displayName="Tabla10" ref="A1:H49" totalsRowShown="0" headerRowDxfId="10" headerRowBorderDxfId="9" tableBorderDxfId="8">
  <autoFilter ref="A1:H49" xr:uid="{00000000-0009-0000-0100-00000A000000}"/>
  <tableColumns count="8">
    <tableColumn id="8" xr3:uid="{00000000-0010-0000-0900-000008000000}" name="FECHA"/>
    <tableColumn id="1" xr3:uid="{00000000-0010-0000-0900-000001000000}" name="EMPRESA" dataDxfId="7"/>
    <tableColumn id="2" xr3:uid="{00000000-0010-0000-0900-000002000000}" name="NOMBRE" dataDxfId="6"/>
    <tableColumn id="3" xr3:uid="{00000000-0010-0000-0900-000003000000}" name="PUESTO" dataDxfId="5"/>
    <tableColumn id="4" xr3:uid="{00000000-0010-0000-0900-000004000000}" name="EMAIL"/>
    <tableColumn id="5" xr3:uid="{00000000-0010-0000-0900-000005000000}" name="TELEFONO"/>
    <tableColumn id="6" xr3:uid="{00000000-0010-0000-0900-000006000000}" name="LINKEDIN" dataDxfId="4"/>
    <tableColumn id="7" xr3:uid="{00000000-0010-0000-0900-000007000000}" name="COMENTARI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elit.com.ar/" TargetMode="External"/><Relationship Id="rId21" Type="http://schemas.openxmlformats.org/officeDocument/2006/relationships/hyperlink" Target="https://ar.verallia.com/" TargetMode="External"/><Relationship Id="rId42" Type="http://schemas.openxmlformats.org/officeDocument/2006/relationships/hyperlink" Target="https://www.barrick.com/English/home/default.aspx" TargetMode="External"/><Relationship Id="rId63" Type="http://schemas.openxmlformats.org/officeDocument/2006/relationships/hyperlink" Target="http://www.berkley.com.ar/" TargetMode="External"/><Relationship Id="rId84" Type="http://schemas.openxmlformats.org/officeDocument/2006/relationships/hyperlink" Target="http://www.redmutual.com.ar/" TargetMode="External"/><Relationship Id="rId138" Type="http://schemas.openxmlformats.org/officeDocument/2006/relationships/hyperlink" Target="http://www.refinor.com/" TargetMode="External"/><Relationship Id="rId159" Type="http://schemas.openxmlformats.org/officeDocument/2006/relationships/hyperlink" Target="https://pharmacenter.com.ar/" TargetMode="External"/><Relationship Id="rId170" Type="http://schemas.openxmlformats.org/officeDocument/2006/relationships/hyperlink" Target="http://www.cooptortu.com.ar/" TargetMode="External"/><Relationship Id="rId107" Type="http://schemas.openxmlformats.org/officeDocument/2006/relationships/hyperlink" Target="https://arcore.com/" TargetMode="External"/><Relationship Id="rId11" Type="http://schemas.openxmlformats.org/officeDocument/2006/relationships/hyperlink" Target="https://www.ucongreso.edu.ar/" TargetMode="External"/><Relationship Id="rId32" Type="http://schemas.openxmlformats.org/officeDocument/2006/relationships/hyperlink" Target="https://argenfruit.com.ar/" TargetMode="External"/><Relationship Id="rId53" Type="http://schemas.openxmlformats.org/officeDocument/2006/relationships/hyperlink" Target="https://www.ypf.com/" TargetMode="External"/><Relationship Id="rId74" Type="http://schemas.openxmlformats.org/officeDocument/2006/relationships/hyperlink" Target="http://www.sportline.com.ar/" TargetMode="External"/><Relationship Id="rId128" Type="http://schemas.openxmlformats.org/officeDocument/2006/relationships/hyperlink" Target="https://dafreobras.com.ar/?autoopen=true" TargetMode="External"/><Relationship Id="rId149" Type="http://schemas.openxmlformats.org/officeDocument/2006/relationships/hyperlink" Target="http://www.vicentetrapani.com/" TargetMode="External"/><Relationship Id="rId5" Type="http://schemas.openxmlformats.org/officeDocument/2006/relationships/hyperlink" Target="https://www.andesmar.com/" TargetMode="External"/><Relationship Id="rId95" Type="http://schemas.openxmlformats.org/officeDocument/2006/relationships/hyperlink" Target="https://www.santafe.gob.ar/ms/enerfe/" TargetMode="External"/><Relationship Id="rId160" Type="http://schemas.openxmlformats.org/officeDocument/2006/relationships/hyperlink" Target="https://bpsolucioneselectricas.com.ar/" TargetMode="External"/><Relationship Id="rId22" Type="http://schemas.openxmlformats.org/officeDocument/2006/relationships/hyperlink" Target="https://grupoceosa.com/" TargetMode="External"/><Relationship Id="rId43" Type="http://schemas.openxmlformats.org/officeDocument/2006/relationships/hyperlink" Target="https://alberdi.com.ar/" TargetMode="External"/><Relationship Id="rId64" Type="http://schemas.openxmlformats.org/officeDocument/2006/relationships/hyperlink" Target="http://www.bcr.com.ar/" TargetMode="External"/><Relationship Id="rId118" Type="http://schemas.openxmlformats.org/officeDocument/2006/relationships/hyperlink" Target="http://www.roagro.com.ar/" TargetMode="External"/><Relationship Id="rId139" Type="http://schemas.openxmlformats.org/officeDocument/2006/relationships/hyperlink" Target="https://flacso.org.ar/?autoopen=true" TargetMode="External"/><Relationship Id="rId85" Type="http://schemas.openxmlformats.org/officeDocument/2006/relationships/hyperlink" Target="http://www.lasibila.com.ar/" TargetMode="External"/><Relationship Id="rId150" Type="http://schemas.openxmlformats.org/officeDocument/2006/relationships/hyperlink" Target="http://www.karatex.com.ar/" TargetMode="External"/><Relationship Id="rId171" Type="http://schemas.openxmlformats.org/officeDocument/2006/relationships/hyperlink" Target="http://www.cemdo.com.ar/" TargetMode="External"/><Relationship Id="rId12" Type="http://schemas.openxmlformats.org/officeDocument/2006/relationships/hyperlink" Target="https://www.umaza.edu.ar/" TargetMode="External"/><Relationship Id="rId33" Type="http://schemas.openxmlformats.org/officeDocument/2006/relationships/hyperlink" Target="https://hospital.uncuyo.edu.ar/" TargetMode="External"/><Relationship Id="rId108" Type="http://schemas.openxmlformats.org/officeDocument/2006/relationships/hyperlink" Target="https://fapersa.com/" TargetMode="External"/><Relationship Id="rId129" Type="http://schemas.openxmlformats.org/officeDocument/2006/relationships/hyperlink" Target="http://www.majordrilling.com/" TargetMode="External"/><Relationship Id="rId54" Type="http://schemas.openxmlformats.org/officeDocument/2006/relationships/hyperlink" Target="https://www.aguascordobesas.com.ar/" TargetMode="External"/><Relationship Id="rId75" Type="http://schemas.openxmlformats.org/officeDocument/2006/relationships/hyperlink" Target="https://www.epe.santafe.gov.ar/institucional/" TargetMode="External"/><Relationship Id="rId96" Type="http://schemas.openxmlformats.org/officeDocument/2006/relationships/hyperlink" Target="https://www.consejosalta.org.ar/" TargetMode="External"/><Relationship Id="rId140" Type="http://schemas.openxmlformats.org/officeDocument/2006/relationships/hyperlink" Target="https://castillo.com.ar/" TargetMode="External"/><Relationship Id="rId161" Type="http://schemas.openxmlformats.org/officeDocument/2006/relationships/hyperlink" Target="https://papeleratucuman.com.ar/?autoopen=true" TargetMode="External"/><Relationship Id="rId6" Type="http://schemas.openxmlformats.org/officeDocument/2006/relationships/hyperlink" Target="https://um.edu.ar/" TargetMode="External"/><Relationship Id="rId23" Type="http://schemas.openxmlformats.org/officeDocument/2006/relationships/hyperlink" Target="https://asistir.net/" TargetMode="External"/><Relationship Id="rId28" Type="http://schemas.openxmlformats.org/officeDocument/2006/relationships/hyperlink" Target="https://sercommedia.com/" TargetMode="External"/><Relationship Id="rId49" Type="http://schemas.openxmlformats.org/officeDocument/2006/relationships/hyperlink" Target="https://www.prodeman.com/es/" TargetMode="External"/><Relationship Id="rId114" Type="http://schemas.openxmlformats.org/officeDocument/2006/relationships/hyperlink" Target="https://www.easycallargentina.com/" TargetMode="External"/><Relationship Id="rId119" Type="http://schemas.openxmlformats.org/officeDocument/2006/relationships/hyperlink" Target="http://www.kretz.com.ar/" TargetMode="External"/><Relationship Id="rId44" Type="http://schemas.openxmlformats.org/officeDocument/2006/relationships/hyperlink" Target="https://www.bancojulio.com.ar/" TargetMode="External"/><Relationship Id="rId60" Type="http://schemas.openxmlformats.org/officeDocument/2006/relationships/hyperlink" Target="https://www.avalian.com/" TargetMode="External"/><Relationship Id="rId65" Type="http://schemas.openxmlformats.org/officeDocument/2006/relationships/hyperlink" Target="http://cajaforensesantafe.org.ar/" TargetMode="External"/><Relationship Id="rId81" Type="http://schemas.openxmlformats.org/officeDocument/2006/relationships/hyperlink" Target="https://sgsalud.wixsite.com/website/" TargetMode="External"/><Relationship Id="rId86" Type="http://schemas.openxmlformats.org/officeDocument/2006/relationships/hyperlink" Target="http://www.ellitoral.com/" TargetMode="External"/><Relationship Id="rId130" Type="http://schemas.openxmlformats.org/officeDocument/2006/relationships/hyperlink" Target="http://www.reydi.com/" TargetMode="External"/><Relationship Id="rId135" Type="http://schemas.openxmlformats.org/officeDocument/2006/relationships/hyperlink" Target="http://www.bit.com.ar/" TargetMode="External"/><Relationship Id="rId151" Type="http://schemas.openxmlformats.org/officeDocument/2006/relationships/hyperlink" Target="https://www.bercovich.com.ar/" TargetMode="External"/><Relationship Id="rId156" Type="http://schemas.openxmlformats.org/officeDocument/2006/relationships/hyperlink" Target="http://www.epidata.net/" TargetMode="External"/><Relationship Id="rId177" Type="http://schemas.openxmlformats.org/officeDocument/2006/relationships/table" Target="../tables/table1.xml"/><Relationship Id="rId172" Type="http://schemas.openxmlformats.org/officeDocument/2006/relationships/hyperlink" Target="https://www.funescoop.com.ar/" TargetMode="External"/><Relationship Id="rId13" Type="http://schemas.openxmlformats.org/officeDocument/2006/relationships/hyperlink" Target="https://hospitalprivadomendoza.com.ar/?autoopen=true" TargetMode="External"/><Relationship Id="rId18" Type="http://schemas.openxmlformats.org/officeDocument/2006/relationships/hyperlink" Target="https://www.mailexpress.com.ar/" TargetMode="External"/><Relationship Id="rId39" Type="http://schemas.openxmlformats.org/officeDocument/2006/relationships/hyperlink" Target="https://www.freiberg.com.ar/" TargetMode="External"/><Relationship Id="rId109" Type="http://schemas.openxmlformats.org/officeDocument/2006/relationships/hyperlink" Target="https://www.santafe.gov.ar/index.php/web/content/view/full/102282" TargetMode="External"/><Relationship Id="rId34" Type="http://schemas.openxmlformats.org/officeDocument/2006/relationships/hyperlink" Target="https://www.farmaciasdelplata.com/" TargetMode="External"/><Relationship Id="rId50" Type="http://schemas.openxmlformats.org/officeDocument/2006/relationships/hyperlink" Target="https://www.aguassantafesinas.com.ar/portal/" TargetMode="External"/><Relationship Id="rId55" Type="http://schemas.openxmlformats.org/officeDocument/2006/relationships/hyperlink" Target="http://www.elnorte.com.ar/" TargetMode="External"/><Relationship Id="rId76" Type="http://schemas.openxmlformats.org/officeDocument/2006/relationships/hyperlink" Target="http://www.icsaautomation.com/" TargetMode="External"/><Relationship Id="rId97" Type="http://schemas.openxmlformats.org/officeDocument/2006/relationships/hyperlink" Target="http://coemyc.com/" TargetMode="External"/><Relationship Id="rId104" Type="http://schemas.openxmlformats.org/officeDocument/2006/relationships/hyperlink" Target="http://www.bbe-sa.com.ar/" TargetMode="External"/><Relationship Id="rId120" Type="http://schemas.openxmlformats.org/officeDocument/2006/relationships/hyperlink" Target="http://www.sotic.com.ar/" TargetMode="External"/><Relationship Id="rId125" Type="http://schemas.openxmlformats.org/officeDocument/2006/relationships/hyperlink" Target="https://www.baggio.com.ar/es/" TargetMode="External"/><Relationship Id="rId141" Type="http://schemas.openxmlformats.org/officeDocument/2006/relationships/hyperlink" Target="http://www.beccarvarela.com/" TargetMode="External"/><Relationship Id="rId146" Type="http://schemas.openxmlformats.org/officeDocument/2006/relationships/hyperlink" Target="https://www.myacomercial.com/" TargetMode="External"/><Relationship Id="rId167" Type="http://schemas.openxmlformats.org/officeDocument/2006/relationships/hyperlink" Target="https://www.ceb.coop/" TargetMode="External"/><Relationship Id="rId7" Type="http://schemas.openxmlformats.org/officeDocument/2006/relationships/hyperlink" Target="https://ciudaddemendoza.gob.ar/" TargetMode="External"/><Relationship Id="rId71" Type="http://schemas.openxmlformats.org/officeDocument/2006/relationships/hyperlink" Target="http://www.colinet.com.ar/" TargetMode="External"/><Relationship Id="rId92" Type="http://schemas.openxmlformats.org/officeDocument/2006/relationships/hyperlink" Target="https://linktr.ee/randonargentina" TargetMode="External"/><Relationship Id="rId162" Type="http://schemas.openxmlformats.org/officeDocument/2006/relationships/hyperlink" Target="https://www.afsa.com.ar/" TargetMode="External"/><Relationship Id="rId2" Type="http://schemas.openxmlformats.org/officeDocument/2006/relationships/hyperlink" Target="https://www.mendoza.edu.ar/" TargetMode="External"/><Relationship Id="rId29" Type="http://schemas.openxmlformats.org/officeDocument/2006/relationships/hyperlink" Target="https://redmercosur.com/" TargetMode="External"/><Relationship Id="rId24" Type="http://schemas.openxmlformats.org/officeDocument/2006/relationships/hyperlink" Target="https://fuentemayorhoteles.com/" TargetMode="External"/><Relationship Id="rId40" Type="http://schemas.openxmlformats.org/officeDocument/2006/relationships/hyperlink" Target="https://www.naturgy.com.ar/" TargetMode="External"/><Relationship Id="rId45" Type="http://schemas.openxmlformats.org/officeDocument/2006/relationships/hyperlink" Target="https://www.invel.com.ar/" TargetMode="External"/><Relationship Id="rId66" Type="http://schemas.openxmlformats.org/officeDocument/2006/relationships/hyperlink" Target="http://www.celulosaargentina.com.ar/" TargetMode="External"/><Relationship Id="rId87" Type="http://schemas.openxmlformats.org/officeDocument/2006/relationships/hyperlink" Target="https://fcagr.unr.edu.ar/" TargetMode="External"/><Relationship Id="rId110" Type="http://schemas.openxmlformats.org/officeDocument/2006/relationships/hyperlink" Target="http://www.unl.edu.ar/" TargetMode="External"/><Relationship Id="rId115" Type="http://schemas.openxmlformats.org/officeDocument/2006/relationships/hyperlink" Target="https://www.santafe.gob.ar/" TargetMode="External"/><Relationship Id="rId131" Type="http://schemas.openxmlformats.org/officeDocument/2006/relationships/hyperlink" Target="http://quintoimpacto.net/" TargetMode="External"/><Relationship Id="rId136" Type="http://schemas.openxmlformats.org/officeDocument/2006/relationships/hyperlink" Target="http://www.bse.com.ar/" TargetMode="External"/><Relationship Id="rId157" Type="http://schemas.openxmlformats.org/officeDocument/2006/relationships/hyperlink" Target="http://www.dsuiza.com.ar/" TargetMode="External"/><Relationship Id="rId61" Type="http://schemas.openxmlformats.org/officeDocument/2006/relationships/hyperlink" Target="https://www.bancocoinag.com/" TargetMode="External"/><Relationship Id="rId82" Type="http://schemas.openxmlformats.org/officeDocument/2006/relationships/hyperlink" Target="https://www.gaviglio.com/" TargetMode="External"/><Relationship Id="rId152" Type="http://schemas.openxmlformats.org/officeDocument/2006/relationships/hyperlink" Target="https://tensolite.com/" TargetMode="External"/><Relationship Id="rId173" Type="http://schemas.openxmlformats.org/officeDocument/2006/relationships/hyperlink" Target="https://cevt.ar/" TargetMode="External"/><Relationship Id="rId19" Type="http://schemas.openxmlformats.org/officeDocument/2006/relationships/hyperlink" Target="https://www.hilton.com/en/locations/argentina/mendoza/hilton-hotels/" TargetMode="External"/><Relationship Id="rId14" Type="http://schemas.openxmlformats.org/officeDocument/2006/relationships/hyperlink" Target="https://www.lagaceta.com.ar/" TargetMode="External"/><Relationship Id="rId30" Type="http://schemas.openxmlformats.org/officeDocument/2006/relationships/hyperlink" Target="https://eciemergencias.com/" TargetMode="External"/><Relationship Id="rId35" Type="http://schemas.openxmlformats.org/officeDocument/2006/relationships/hyperlink" Target="https://grupohuentala.com.ar/" TargetMode="External"/><Relationship Id="rId56" Type="http://schemas.openxmlformats.org/officeDocument/2006/relationships/hyperlink" Target="http://www.iveco.com.ar/" TargetMode="External"/><Relationship Id="rId77" Type="http://schemas.openxmlformats.org/officeDocument/2006/relationships/hyperlink" Target="https://www.federada.com/" TargetMode="External"/><Relationship Id="rId100" Type="http://schemas.openxmlformats.org/officeDocument/2006/relationships/hyperlink" Target="http://www.cinter.com.ar/" TargetMode="External"/><Relationship Id="rId105" Type="http://schemas.openxmlformats.org/officeDocument/2006/relationships/hyperlink" Target="https://www.fbcb.unl.edu.ar/" TargetMode="External"/><Relationship Id="rId126" Type="http://schemas.openxmlformats.org/officeDocument/2006/relationships/hyperlink" Target="http://www.focasoftware.com/" TargetMode="External"/><Relationship Id="rId147" Type="http://schemas.openxmlformats.org/officeDocument/2006/relationships/hyperlink" Target="http://www.argentilemon.com/" TargetMode="External"/><Relationship Id="rId168" Type="http://schemas.openxmlformats.org/officeDocument/2006/relationships/hyperlink" Target="https://coopascension.com.ar/?autoopen=true" TargetMode="External"/><Relationship Id="rId8" Type="http://schemas.openxmlformats.org/officeDocument/2006/relationships/hyperlink" Target="https://osepmendoza.com.ar/web/" TargetMode="External"/><Relationship Id="rId51" Type="http://schemas.openxmlformats.org/officeDocument/2006/relationships/hyperlink" Target="http://www.megatone.net/" TargetMode="External"/><Relationship Id="rId72" Type="http://schemas.openxmlformats.org/officeDocument/2006/relationships/hyperlink" Target="http://www.csf.com.ar/" TargetMode="External"/><Relationship Id="rId93" Type="http://schemas.openxmlformats.org/officeDocument/2006/relationships/hyperlink" Target="https://www.fussetti.com/" TargetMode="External"/><Relationship Id="rId98" Type="http://schemas.openxmlformats.org/officeDocument/2006/relationships/hyperlink" Target="https://sv.com.ar/" TargetMode="External"/><Relationship Id="rId121" Type="http://schemas.openxmlformats.org/officeDocument/2006/relationships/hyperlink" Target="https://www.alz-agro.com.ar/" TargetMode="External"/><Relationship Id="rId142" Type="http://schemas.openxmlformats.org/officeDocument/2006/relationships/hyperlink" Target="http://uniber.com.ar/" TargetMode="External"/><Relationship Id="rId163" Type="http://schemas.openxmlformats.org/officeDocument/2006/relationships/hyperlink" Target="http://www.colsecornoticias.com.ar/" TargetMode="External"/><Relationship Id="rId3" Type="http://schemas.openxmlformats.org/officeDocument/2006/relationships/hyperlink" Target="https://lacostedelosandes.com/" TargetMode="External"/><Relationship Id="rId25" Type="http://schemas.openxmlformats.org/officeDocument/2006/relationships/hyperlink" Target="https://saigro.com.ar/" TargetMode="External"/><Relationship Id="rId46" Type="http://schemas.openxmlformats.org/officeDocument/2006/relationships/hyperlink" Target="https://www.cofaloza.com.ar/" TargetMode="External"/><Relationship Id="rId67" Type="http://schemas.openxmlformats.org/officeDocument/2006/relationships/hyperlink" Target="https://www.creditoargentino.com.ar/" TargetMode="External"/><Relationship Id="rId116" Type="http://schemas.openxmlformats.org/officeDocument/2006/relationships/hyperlink" Target="http://www.justiciasantafe.gob.ar/" TargetMode="External"/><Relationship Id="rId137" Type="http://schemas.openxmlformats.org/officeDocument/2006/relationships/hyperlink" Target="https://borealsalud.com.ar/" TargetMode="External"/><Relationship Id="rId158" Type="http://schemas.openxmlformats.org/officeDocument/2006/relationships/hyperlink" Target="http://www.distrocuyo.com/" TargetMode="External"/><Relationship Id="rId20" Type="http://schemas.openxmlformats.org/officeDocument/2006/relationships/hyperlink" Target="https://www.grupolorenzo.com.ar/" TargetMode="External"/><Relationship Id="rId41" Type="http://schemas.openxmlformats.org/officeDocument/2006/relationships/hyperlink" Target="https://www.justicia.ar/poderes-judiciales/neuquen" TargetMode="External"/><Relationship Id="rId62" Type="http://schemas.openxmlformats.org/officeDocument/2006/relationships/hyperlink" Target="https://www.bmros.com.ar/" TargetMode="External"/><Relationship Id="rId83" Type="http://schemas.openxmlformats.org/officeDocument/2006/relationships/hyperlink" Target="http://www.inelro.com.ar/" TargetMode="External"/><Relationship Id="rId88" Type="http://schemas.openxmlformats.org/officeDocument/2006/relationships/hyperlink" Target="http://www.pla.com.ar/" TargetMode="External"/><Relationship Id="rId111" Type="http://schemas.openxmlformats.org/officeDocument/2006/relationships/hyperlink" Target="http://www.pecam.com.ar/" TargetMode="External"/><Relationship Id="rId132" Type="http://schemas.openxmlformats.org/officeDocument/2006/relationships/hyperlink" Target="https://awasi.com/mendoza/" TargetMode="External"/><Relationship Id="rId153" Type="http://schemas.openxmlformats.org/officeDocument/2006/relationships/hyperlink" Target="http://www.maxihogarsrl.com.ar/" TargetMode="External"/><Relationship Id="rId174" Type="http://schemas.openxmlformats.org/officeDocument/2006/relationships/hyperlink" Target="http://www.celocooperativa.com.ar/" TargetMode="External"/><Relationship Id="rId15" Type="http://schemas.openxmlformats.org/officeDocument/2006/relationships/hyperlink" Target="https://vinesofmendoza.com/es/" TargetMode="External"/><Relationship Id="rId36" Type="http://schemas.openxmlformats.org/officeDocument/2006/relationships/hyperlink" Target="http://www.zaldivar.com/" TargetMode="External"/><Relationship Id="rId57" Type="http://schemas.openxmlformats.org/officeDocument/2006/relationships/hyperlink" Target="http://www.sanatorioallende.com/web/es/home.aspx" TargetMode="External"/><Relationship Id="rId106" Type="http://schemas.openxmlformats.org/officeDocument/2006/relationships/hyperlink" Target="http://www.ucsf.edu.ar/" TargetMode="External"/><Relationship Id="rId127" Type="http://schemas.openxmlformats.org/officeDocument/2006/relationships/hyperlink" Target="https://centauroarg.com.ar/" TargetMode="External"/><Relationship Id="rId10" Type="http://schemas.openxmlformats.org/officeDocument/2006/relationships/hyperlink" Target="https://www.grupomontes.com.ar/" TargetMode="External"/><Relationship Id="rId31" Type="http://schemas.openxmlformats.org/officeDocument/2006/relationships/hyperlink" Target="https://entredos.com.ar/" TargetMode="External"/><Relationship Id="rId52" Type="http://schemas.openxmlformats.org/officeDocument/2006/relationships/hyperlink" Target="https://www.rosario.gob.ar/inicio/" TargetMode="External"/><Relationship Id="rId73" Type="http://schemas.openxmlformats.org/officeDocument/2006/relationships/hyperlink" Target="http://www.laprensa.com.ar/" TargetMode="External"/><Relationship Id="rId78" Type="http://schemas.openxmlformats.org/officeDocument/2006/relationships/hyperlink" Target="http://www.mav-sa.com.ar/" TargetMode="External"/><Relationship Id="rId94" Type="http://schemas.openxmlformats.org/officeDocument/2006/relationships/hyperlink" Target="https://www.fce.unl.edu.ar/" TargetMode="External"/><Relationship Id="rId99" Type="http://schemas.openxmlformats.org/officeDocument/2006/relationships/hyperlink" Target="https://jerarquicos.com/" TargetMode="External"/><Relationship Id="rId101" Type="http://schemas.openxmlformats.org/officeDocument/2006/relationships/hyperlink" Target="https://renova.com.ar/" TargetMode="External"/><Relationship Id="rId122" Type="http://schemas.openxmlformats.org/officeDocument/2006/relationships/hyperlink" Target="https://www.fuesmen.edu.ar/" TargetMode="External"/><Relationship Id="rId143" Type="http://schemas.openxmlformats.org/officeDocument/2006/relationships/hyperlink" Target="http://www.gasnor.com/" TargetMode="External"/><Relationship Id="rId148" Type="http://schemas.openxmlformats.org/officeDocument/2006/relationships/hyperlink" Target="https://www.antonioluquinsa.com.ar/home" TargetMode="External"/><Relationship Id="rId164" Type="http://schemas.openxmlformats.org/officeDocument/2006/relationships/hyperlink" Target="https://www.cooperativaobrera.coop/" TargetMode="External"/><Relationship Id="rId169" Type="http://schemas.openxmlformats.org/officeDocument/2006/relationships/hyperlink" Target="http://www.telpin.com.ar/" TargetMode="External"/><Relationship Id="rId4" Type="http://schemas.openxmlformats.org/officeDocument/2006/relationships/hyperlink" Target="https://www.uncuyo.edu.ar/" TargetMode="External"/><Relationship Id="rId9" Type="http://schemas.openxmlformats.org/officeDocument/2006/relationships/hyperlink" Target="https://www.bodegasalentein.com/" TargetMode="External"/><Relationship Id="rId26" Type="http://schemas.openxmlformats.org/officeDocument/2006/relationships/hyperlink" Target="https://celerinternet.com/" TargetMode="External"/><Relationship Id="rId47" Type="http://schemas.openxmlformats.org/officeDocument/2006/relationships/hyperlink" Target="https://cordoba.gob.ar/" TargetMode="External"/><Relationship Id="rId68" Type="http://schemas.openxmlformats.org/officeDocument/2006/relationships/hyperlink" Target="https://www.grupoorono.com.ar/" TargetMode="External"/><Relationship Id="rId89" Type="http://schemas.openxmlformats.org/officeDocument/2006/relationships/hyperlink" Target="https://www.santafe.gov.ar/index.php/web/content/view/full/102282" TargetMode="External"/><Relationship Id="rId112" Type="http://schemas.openxmlformats.org/officeDocument/2006/relationships/hyperlink" Target="https://www.mattievich.com.ar/" TargetMode="External"/><Relationship Id="rId133" Type="http://schemas.openxmlformats.org/officeDocument/2006/relationships/hyperlink" Target="http://clinicadecuyosa.org/" TargetMode="External"/><Relationship Id="rId154" Type="http://schemas.openxmlformats.org/officeDocument/2006/relationships/hyperlink" Target="https://www.avalfederal.com.ar/" TargetMode="External"/><Relationship Id="rId175" Type="http://schemas.openxmlformats.org/officeDocument/2006/relationships/hyperlink" Target="http://www.grantornado.com.ar/" TargetMode="External"/><Relationship Id="rId16" Type="http://schemas.openxmlformats.org/officeDocument/2006/relationships/hyperlink" Target="https://westnet.com.ar/" TargetMode="External"/><Relationship Id="rId37" Type="http://schemas.openxmlformats.org/officeDocument/2006/relationships/hyperlink" Target="https://cartellone.com.ar/" TargetMode="External"/><Relationship Id="rId58" Type="http://schemas.openxmlformats.org/officeDocument/2006/relationships/hyperlink" Target="https://www.desasa.com.ar/" TargetMode="External"/><Relationship Id="rId79" Type="http://schemas.openxmlformats.org/officeDocument/2006/relationships/hyperlink" Target="https://www.edesa.com.ar/" TargetMode="External"/><Relationship Id="rId102" Type="http://schemas.openxmlformats.org/officeDocument/2006/relationships/hyperlink" Target="https://www.yomo.com.ar/" TargetMode="External"/><Relationship Id="rId123" Type="http://schemas.openxmlformats.org/officeDocument/2006/relationships/hyperlink" Target="https://www.guaymallen.gob.ar/" TargetMode="External"/><Relationship Id="rId144" Type="http://schemas.openxmlformats.org/officeDocument/2006/relationships/hyperlink" Target="https://www.mutualamr.org.ar/" TargetMode="External"/><Relationship Id="rId90" Type="http://schemas.openxmlformats.org/officeDocument/2006/relationships/hyperlink" Target="https://www.avanzarsa.com.ar/" TargetMode="External"/><Relationship Id="rId165" Type="http://schemas.openxmlformats.org/officeDocument/2006/relationships/hyperlink" Target="https://cooperativalehmann.coop/?autoopen=true" TargetMode="External"/><Relationship Id="rId27" Type="http://schemas.openxmlformats.org/officeDocument/2006/relationships/hyperlink" Target="https://www.emepasa.com/" TargetMode="External"/><Relationship Id="rId48" Type="http://schemas.openxmlformats.org/officeDocument/2006/relationships/hyperlink" Target="https://www.justiciacordoba.gob.ar/JusticiaCordoba/Inicio/index.aspx" TargetMode="External"/><Relationship Id="rId69" Type="http://schemas.openxmlformats.org/officeDocument/2006/relationships/hyperlink" Target="https://www.grupogamma.com/" TargetMode="External"/><Relationship Id="rId113" Type="http://schemas.openxmlformats.org/officeDocument/2006/relationships/hyperlink" Target="http://www.redsportonline.com.ar/" TargetMode="External"/><Relationship Id="rId134" Type="http://schemas.openxmlformats.org/officeDocument/2006/relationships/hyperlink" Target="https://velo.com.ar/" TargetMode="External"/><Relationship Id="rId80" Type="http://schemas.openxmlformats.org/officeDocument/2006/relationships/hyperlink" Target="https://gruposantafe.com.ar/" TargetMode="External"/><Relationship Id="rId155" Type="http://schemas.openxmlformats.org/officeDocument/2006/relationships/hyperlink" Target="http://www.s9j.com.ar/" TargetMode="External"/><Relationship Id="rId176" Type="http://schemas.openxmlformats.org/officeDocument/2006/relationships/hyperlink" Target="http://www.mundoamtae.com/" TargetMode="External"/><Relationship Id="rId17" Type="http://schemas.openxmlformats.org/officeDocument/2006/relationships/hyperlink" Target="https://catenazapata.com/" TargetMode="External"/><Relationship Id="rId38" Type="http://schemas.openxmlformats.org/officeDocument/2006/relationships/hyperlink" Target="https://www.hyatt.com/es-ES/hotel/argentina/park-hyatt-mendoza-hotel-casino-and-spa/menph" TargetMode="External"/><Relationship Id="rId59" Type="http://schemas.openxmlformats.org/officeDocument/2006/relationships/hyperlink" Target="https://www.glmsa.com.ar/" TargetMode="External"/><Relationship Id="rId103" Type="http://schemas.openxmlformats.org/officeDocument/2006/relationships/hyperlink" Target="https://cooportuaria.com/" TargetMode="External"/><Relationship Id="rId124" Type="http://schemas.openxmlformats.org/officeDocument/2006/relationships/hyperlink" Target="https://quosoluciones.com.ar/" TargetMode="External"/><Relationship Id="rId70" Type="http://schemas.openxmlformats.org/officeDocument/2006/relationships/hyperlink" Target="https://telvgg.ar/" TargetMode="External"/><Relationship Id="rId91" Type="http://schemas.openxmlformats.org/officeDocument/2006/relationships/hyperlink" Target="https://www.tregar.com.ar/" TargetMode="External"/><Relationship Id="rId145" Type="http://schemas.openxmlformats.org/officeDocument/2006/relationships/hyperlink" Target="http://www.bancomeridian.com.ar/" TargetMode="External"/><Relationship Id="rId166" Type="http://schemas.openxmlformats.org/officeDocument/2006/relationships/hyperlink" Target="https://arcosdorados.com/?autoopen=true" TargetMode="External"/><Relationship Id="rId1" Type="http://schemas.openxmlformats.org/officeDocument/2006/relationships/hyperlink" Target="https://www.argentina.gob.ar/inv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in/nicol%C3%A1s-brizuela-6a16a5a8?lipi=urn%3Ali%3Apage%3Ad_flagship3_profile_view_base_contact_details%3ByFTuCbJATj%2BKPcMJdulOlQ%3D%3D" TargetMode="External"/><Relationship Id="rId671" Type="http://schemas.openxmlformats.org/officeDocument/2006/relationships/hyperlink" Target="https://www.linkedin.com/in/carlos-eduardo-guzman-4845b3119/" TargetMode="External"/><Relationship Id="rId769" Type="http://schemas.openxmlformats.org/officeDocument/2006/relationships/hyperlink" Target="https://www.linkedin.com/in/danielferrari/" TargetMode="External"/><Relationship Id="rId21" Type="http://schemas.openxmlformats.org/officeDocument/2006/relationships/hyperlink" Target="https://www.linkedin.com/in/matias-austi-69a06b276/" TargetMode="External"/><Relationship Id="rId324" Type="http://schemas.openxmlformats.org/officeDocument/2006/relationships/hyperlink" Target="https://www.linkedin.com/in/gonzalo-tavaut-b6aba098/" TargetMode="External"/><Relationship Id="rId531" Type="http://schemas.openxmlformats.org/officeDocument/2006/relationships/hyperlink" Target="https://www.linkedin.com/in/marco-nievas-9b3984143/" TargetMode="External"/><Relationship Id="rId629" Type="http://schemas.openxmlformats.org/officeDocument/2006/relationships/hyperlink" Target="https://www.linkedin.com/in/alberto-emmanuel-pe%C3%B1a-5a956a211/" TargetMode="External"/><Relationship Id="rId170" Type="http://schemas.openxmlformats.org/officeDocument/2006/relationships/hyperlink" Target="mailto:mardanaz@jfs.com.ar" TargetMode="External"/><Relationship Id="rId268" Type="http://schemas.openxmlformats.org/officeDocument/2006/relationships/hyperlink" Target="https://www.linkedin.com/in/carlos-stupczuk-742490a/?_gl=1*3lbxgh*_gcl_au*MTM3Nzk3OTQyOC4xNzYwMzc2NTg0*_ga*MjExNDgzNDk1Ni4xNzYyMzY5NzM3*_ga_7C6N0WZ5Q3*czE3NjI3ODc2NTEkbzE3MiRnMSR0MTc2Mjc4Nzk0OSRqMjAkbDAkaDA" TargetMode="External"/><Relationship Id="rId475" Type="http://schemas.openxmlformats.org/officeDocument/2006/relationships/hyperlink" Target="https://www.linkedin.com/in/liliana-bechara-08440bb9/?_gl=1*6e5m4*_gcl_au*MTM3Nzk3OTQyOC4xNzYwMzc2NTg0*_ga*MjExNDgzNDk1Ni4xNzYyMzY5NzM3*_ga_7C6N0WZ5Q3*czE3NjUzNzExOTgkbzIxMyRnMSR0MTc2NTM3ODEzNyRqMzUkbDAkaDA" TargetMode="External"/><Relationship Id="rId682" Type="http://schemas.openxmlformats.org/officeDocument/2006/relationships/hyperlink" Target="https://www.linkedin.com/in/aznarangonzalo/" TargetMode="External"/><Relationship Id="rId32" Type="http://schemas.openxmlformats.org/officeDocument/2006/relationships/hyperlink" Target="mailto:diego.kaen@cba.gov.ar" TargetMode="External"/><Relationship Id="rId128" Type="http://schemas.openxmlformats.org/officeDocument/2006/relationships/hyperlink" Target="https://www.linkedin.com/in/cristian-rodriguez-1a73a028/?locale=en_US" TargetMode="External"/><Relationship Id="rId335" Type="http://schemas.openxmlformats.org/officeDocument/2006/relationships/hyperlink" Target="https://www.linkedin.com/in/juan-carlos-salva-b65bb5b8?lipi=urn%3Ali%3Apage%3Ad_flagship3_profile_view_base_contact_details%3BtRV7t04TSii8LBFaQmLGTg%3D%3D" TargetMode="External"/><Relationship Id="rId542" Type="http://schemas.openxmlformats.org/officeDocument/2006/relationships/hyperlink" Target="https://www.linkedin.com/in/nicolas-caceres-stafe/" TargetMode="External"/><Relationship Id="rId181" Type="http://schemas.openxmlformats.org/officeDocument/2006/relationships/hyperlink" Target="mailto:fanzisi@mazul.com.ar" TargetMode="External"/><Relationship Id="rId402" Type="http://schemas.openxmlformats.org/officeDocument/2006/relationships/hyperlink" Target="https://www.linkedin.com/in/facundo-bachin-0aa7051a0/" TargetMode="External"/><Relationship Id="rId279" Type="http://schemas.openxmlformats.org/officeDocument/2006/relationships/hyperlink" Target="mailto:igor_popovitch@casinomagic.com.ar" TargetMode="External"/><Relationship Id="rId486" Type="http://schemas.openxmlformats.org/officeDocument/2006/relationships/hyperlink" Target="https://www.linkedin.com/in/jose-pintos-a4b629199/?_gl=1*165qpev*_gcl_au*MTM3Nzk3OTQyOC4xNzYwMzc2NTg0*_ga*MjExNDgzNDk1Ni4xNzYyMzY5NzM3*_ga_7C6N0WZ5Q3*czE3NjUzODY3OTAkbzIxNCRnMSR0MTc2NTM4NzA1NyRqNTckbDAkaDA" TargetMode="External"/><Relationship Id="rId693" Type="http://schemas.openxmlformats.org/officeDocument/2006/relationships/hyperlink" Target="https://www.linkedin.com/in/marianotrovato/" TargetMode="External"/><Relationship Id="rId707" Type="http://schemas.openxmlformats.org/officeDocument/2006/relationships/hyperlink" Target="https://www.linkedin.com/in/gustavo-mantia-34516521/?_gl=1*1m4lrns*_gcl_au*MTAxMjYxODkuMTc2ODMxMTQ3Nw..*_ga*MjExNDgzNDk1Ni4xNzYyMzY5NzM3*_ga_7C6N0WZ5Q3*czE3Njg5MTU4NDEkbzIzNyRnMSR0MTc2ODkxNjgzMSRqNTQkbDAkaDA" TargetMode="External"/><Relationship Id="rId43" Type="http://schemas.openxmlformats.org/officeDocument/2006/relationships/hyperlink" Target="https://www.linkedin.com/in/cesar-regino-maders-05a92bb6?_gl=1*1hsstka*_gcl_au*MTM3Nzk3OTQyOC4xNzYwMzc2NTg0*_ga*NjEwNDgwNDEzLjE3NTkyNDAzNTk.*_ga_7C6N0WZ5Q3*czE3NjExNTQ5MjYkbzEzNyRnMSR0MTc2MTE1NjIzOCRqNjAkbDAkaDA" TargetMode="External"/><Relationship Id="rId139" Type="http://schemas.openxmlformats.org/officeDocument/2006/relationships/hyperlink" Target="mailto:renato@lorenzati.com" TargetMode="External"/><Relationship Id="rId346" Type="http://schemas.openxmlformats.org/officeDocument/2006/relationships/hyperlink" Target="https://www.linkedin.com/in/leandro-cargnelli/" TargetMode="External"/><Relationship Id="rId553" Type="http://schemas.openxmlformats.org/officeDocument/2006/relationships/hyperlink" Target="https://www.linkedin.com/in/sebastian-muguerza-053348183/" TargetMode="External"/><Relationship Id="rId760" Type="http://schemas.openxmlformats.org/officeDocument/2006/relationships/hyperlink" Target="https://www.linkedin.com/in/ing-facundo-baudino-82455514/" TargetMode="External"/><Relationship Id="rId192" Type="http://schemas.openxmlformats.org/officeDocument/2006/relationships/hyperlink" Target="https://www.linkedin.com/in/aodc/" TargetMode="External"/><Relationship Id="rId206" Type="http://schemas.openxmlformats.org/officeDocument/2006/relationships/hyperlink" Target="https://www.linkedin.com/in/jorgedanielteich/?_gl=1*1q6a5ce*_gcl_au*MTM3Nzk3OTQyOC4xNzYwMzc2NTg0*_ga*NjEwNDgwNDEzLjE3NTkyNDAzNTk.*_ga_7C6N0WZ5Q3*czE3NjE3NTk4MjQkbzE1MSRnMSR0MTc2MTc2MDYyMSRqNDQkbDAkaDA" TargetMode="External"/><Relationship Id="rId413" Type="http://schemas.openxmlformats.org/officeDocument/2006/relationships/hyperlink" Target="mailto:derazu@grupodisal.com.ar" TargetMode="External"/><Relationship Id="rId497" Type="http://schemas.openxmlformats.org/officeDocument/2006/relationships/hyperlink" Target="https://www.linkedin.com/in/gonzalo-knoll-6b176441/" TargetMode="External"/><Relationship Id="rId620" Type="http://schemas.openxmlformats.org/officeDocument/2006/relationships/hyperlink" Target="https://www.linkedin.com/in/pablo-fernando-velarde-0a631344/?_gl=1*mrd0wz*_gcl_au*MTM3Nzk3OTQyOC4xNzYwMzc2NTg0*_ga*MjExNDgzNDk1Ni4xNzYyMzY5NzM3*_ga_7C6N0WZ5Q3*czE3NjU4MjQzMDkkbzIxOSRnMSR0MTc2NTgyOTQ3OSRqNDUkbDAkaDA" TargetMode="External"/><Relationship Id="rId718" Type="http://schemas.openxmlformats.org/officeDocument/2006/relationships/hyperlink" Target="mailto:fbessone@distrocuyo.com" TargetMode="External"/><Relationship Id="rId357" Type="http://schemas.openxmlformats.org/officeDocument/2006/relationships/hyperlink" Target="https://www.linkedin.com/in/marco-tivelli/?_gl=1*jv2tff*_gcl_au*MTM3Nzk3OTQyOC4xNzYwMzc2NTg0*_ga*MjExNDgzNDk1Ni4xNzYyMzY5NzM3*_ga_7C6N0WZ5Q3*czE3NjQ4Njg3NjckbzIwOCRnMSR0MTc2NDg3MTQ2NCRqNjAkbDAkaDA" TargetMode="External"/><Relationship Id="rId54" Type="http://schemas.openxmlformats.org/officeDocument/2006/relationships/hyperlink" Target="https://www.linkedin.com/in/gabrielstralla/" TargetMode="External"/><Relationship Id="rId217" Type="http://schemas.openxmlformats.org/officeDocument/2006/relationships/hyperlink" Target="https://www.linkedin.com/in/ercole-felippa-561670107/?_gl=1*13nf0xx*_gcl_au*MTM3Nzk3OTQyOC4xNzYwMzc2NTg0*_ga*MjExNDgzNDk1Ni4xNzYyMzY5NzM3*_ga_7C6N0WZ5Q3*czE3NjIzNzI1NTYkbzE2MiRnMSR0MTc2MjM3MjYyNSRqNTckbDAkaDA" TargetMode="External"/><Relationship Id="rId564" Type="http://schemas.openxmlformats.org/officeDocument/2006/relationships/hyperlink" Target="mailto:pgarello@unl.edu.ar%20//%20pgarello@rectorado.unl.edu.ar" TargetMode="External"/><Relationship Id="rId771" Type="http://schemas.openxmlformats.org/officeDocument/2006/relationships/hyperlink" Target="https://www.linkedin.com/in/pablo-michel-965660143/" TargetMode="External"/><Relationship Id="rId424" Type="http://schemas.openxmlformats.org/officeDocument/2006/relationships/hyperlink" Target="https://www.linkedin.com/in/daniel-alvarez-ferreira-349871174/?_gl=1*3s7ttq*_gcl_au*MTM3Nzk3OTQyOC4xNzYwMzc2NTg0*_ga*MjExNDgzNDk1Ni4xNzYyMzY5NzM3*_ga_7C6N0WZ5Q3*czE3NjUyODQxMDckbzIxMSRnMSR0MTc2NTI5Mzg5MyRqMzkkbDAkaDA" TargetMode="External"/><Relationship Id="rId631" Type="http://schemas.openxmlformats.org/officeDocument/2006/relationships/hyperlink" Target="https://www.linkedin.com/in/diego-dahlbokum-31727b73/" TargetMode="External"/><Relationship Id="rId729" Type="http://schemas.openxmlformats.org/officeDocument/2006/relationships/hyperlink" Target="mailto:pablo.gonzalez@bp-sa.com.ar" TargetMode="External"/><Relationship Id="rId270" Type="http://schemas.openxmlformats.org/officeDocument/2006/relationships/hyperlink" Target="mailto:Pablo.dipietro@clusterciar.com.ar" TargetMode="External"/><Relationship Id="rId65" Type="http://schemas.openxmlformats.org/officeDocument/2006/relationships/hyperlink" Target="https://www.linkedin.com/in/cristian-chavarini/overlay/contact-info/?lipi=urn%3Ali%3Apage%3Ad_flagship3_profile_view_base%3BgRvODrFBRq28i5FasxgtqQ%3D%3D" TargetMode="External"/><Relationship Id="rId130" Type="http://schemas.openxmlformats.org/officeDocument/2006/relationships/hyperlink" Target="https://www.linkedin.com/in/juan-manuel-m-88950b53/?locale=en_US" TargetMode="External"/><Relationship Id="rId368" Type="http://schemas.openxmlformats.org/officeDocument/2006/relationships/hyperlink" Target="https://www.linkedin.com/in/chaconj03/?_gl=1*9vqx6s*_gcl_au*MTM3Nzk3OTQyOC4xNzYwMzc2NTg0*_ga*MjExNDgzNDk1Ni4xNzYyMzY5NzM3*_ga_7C6N0WZ5Q3*czE3NjQ4Njg3NjckbzIwOCRnMSR0MTc2NDg3NTk2MCRqNjAkbDAkaDA" TargetMode="External"/><Relationship Id="rId575" Type="http://schemas.openxmlformats.org/officeDocument/2006/relationships/hyperlink" Target="https://www.linkedin.com/in/santiagocosta/" TargetMode="External"/><Relationship Id="rId782" Type="http://schemas.openxmlformats.org/officeDocument/2006/relationships/hyperlink" Target="https://www.linkedin.com/in/martin-campora/" TargetMode="External"/><Relationship Id="rId228" Type="http://schemas.openxmlformats.org/officeDocument/2006/relationships/hyperlink" Target="https://www.linkedin.com/in/evelin-irene-antonio-87802817/?_gl=1*xuzape*_gcl_au*MTM3Nzk3OTQyOC4xNzYwMzc2NTg0*_ga*MjExNDgzNDk1Ni4xNzYyMzY5NzM3*_ga_7C6N0WZ5Q3*czE3NjI0Mzk2ODEkbzE2NCRnMCR0MTc2MjQzOTY4MSRqNjAkbDAkaDA" TargetMode="External"/><Relationship Id="rId435" Type="http://schemas.openxmlformats.org/officeDocument/2006/relationships/hyperlink" Target="https://www.linkedin.com/in/mariano-corradi-279424b/?_gl=1*1hncxvq*_gcl_au*MTM3Nzk3OTQyOC4xNzYwMzc2NTg0*_ga*MjExNDgzNDk1Ni4xNzYyMzY5NzM3*_ga_7C6N0WZ5Q3*czE3NjUyODQxMDckbzIxMSRnMSR0MTc2NTI5NDQ5NiRqNDIkbDAkaDA" TargetMode="External"/><Relationship Id="rId642" Type="http://schemas.openxmlformats.org/officeDocument/2006/relationships/hyperlink" Target="https://www.linkedin.com/in/guillermofgruenwaldt/" TargetMode="External"/><Relationship Id="rId281" Type="http://schemas.openxmlformats.org/officeDocument/2006/relationships/hyperlink" Target="https://www.linkedin.com/in/eduardo-antonio-nant%C3%B3n-0073563b/?_gl=1*wp6x0g*_gcl_au*MTM3Nzk3OTQyOC4xNzYwMzc2NTg0*_ga*MjExNDgzNDk1Ni4xNzYyMzY5NzM3*_ga_7C6N0WZ5Q3*czE3NjI3OTQ2MTUkbzE3MyRnMSR0MTc2Mjc5NjcwOCRqNjAkbDAkaDA" TargetMode="External"/><Relationship Id="rId502" Type="http://schemas.openxmlformats.org/officeDocument/2006/relationships/hyperlink" Target="https://www.linkedin.com/in/jos%C3%A9-rodrigo-d%C3%ADaz-386288243/" TargetMode="External"/><Relationship Id="rId76" Type="http://schemas.openxmlformats.org/officeDocument/2006/relationships/hyperlink" Target="mailto:jguayama@bodegasalentein.com" TargetMode="External"/><Relationship Id="rId141" Type="http://schemas.openxmlformats.org/officeDocument/2006/relationships/hyperlink" Target="mailto:lorenzati@nutrim.com" TargetMode="External"/><Relationship Id="rId379" Type="http://schemas.openxmlformats.org/officeDocument/2006/relationships/hyperlink" Target="https://www.linkedin.com/in/laura-covaro-86a49411/?_gl=1*102jon9*_gcl_au*MTM3Nzk3OTQyOC4xNzYwMzc2NTg0*_ga*MjExNDgzNDk1Ni4xNzYyMzY5NzM3*_ga_7C6N0WZ5Q3*czE3NjQ5NDA3MDgkbzIxMCRnMSR0MTc2NDk0NTI5OSRqMzMkbDAkaDA" TargetMode="External"/><Relationship Id="rId586" Type="http://schemas.openxmlformats.org/officeDocument/2006/relationships/hyperlink" Target="mailto:ivan.cavallero@sotic.com.ar" TargetMode="External"/><Relationship Id="rId793" Type="http://schemas.openxmlformats.org/officeDocument/2006/relationships/hyperlink" Target="https://www.linkedin.com/in/juan-eduardo-perez-arg/" TargetMode="External"/><Relationship Id="rId807" Type="http://schemas.openxmlformats.org/officeDocument/2006/relationships/hyperlink" Target="https://www.linkedin.com/in/secatore/" TargetMode="External"/><Relationship Id="rId7" Type="http://schemas.openxmlformats.org/officeDocument/2006/relationships/hyperlink" Target="mailto:dlanzavechia@inv.gov.ar" TargetMode="External"/><Relationship Id="rId239" Type="http://schemas.openxmlformats.org/officeDocument/2006/relationships/hyperlink" Target="https://www.linkedin.com/in/matias-weissel-7592018/?_gl=1*10t6loc*_gcl_au*MTM3Nzk3OTQyOC4xNzYwMzc2NTg0*_ga*MjExNDgzNDk1Ni4xNzYyMzY5NzM3*_ga_7C6N0WZ5Q3*czE3NjI0NTUyNDEkbzE2NSRnMSR0MTc2MjQ1NjY5MSRqMTgkbDAkaDA" TargetMode="External"/><Relationship Id="rId446" Type="http://schemas.openxmlformats.org/officeDocument/2006/relationships/hyperlink" Target="https://www.linkedin.com/in/mario-rivarola-4546702b2/?_gl=1*4x2hrm*_gcl_au*MTM3Nzk3OTQyOC4xNzYwMzc2NTg0*_ga*MjExNDgzNDk1Ni4xNzYyMzY5NzM3*_ga_7C6N0WZ5Q3*czE3NjUyOTk5NjckbzIxMiRnMSR0MTc2NTMwNDQxOSRqNTckbDAkaDA" TargetMode="External"/><Relationship Id="rId653" Type="http://schemas.openxmlformats.org/officeDocument/2006/relationships/hyperlink" Target="mailto:cmuzio@bse.com.ar" TargetMode="External"/><Relationship Id="rId292" Type="http://schemas.openxmlformats.org/officeDocument/2006/relationships/hyperlink" Target="https://www.linkedin.com/in/ricardo-gramajo-aa415433/?_gl=1*s9pohn*_gcl_au*MTM3Nzk3OTQyOC4xNzYwMzc2NTg0*_ga*MjExNDgzNDk1Ni4xNzYyMzY5NzM3*_ga_7C6N0WZ5Q3*czE3NjI3OTQ2MTUkbzE3MyRnMSR0MTc2MjgwMzU4OSRqNjAkbDAkaDA" TargetMode="External"/><Relationship Id="rId306" Type="http://schemas.openxmlformats.org/officeDocument/2006/relationships/hyperlink" Target="https://www.linkedin.com/in/edgardo-zucchi-7672a81b1/overlay/photo/" TargetMode="External"/><Relationship Id="rId87" Type="http://schemas.openxmlformats.org/officeDocument/2006/relationships/hyperlink" Target="https://www.linkedin.com/in/emanuel-enrique-rodriguez/" TargetMode="External"/><Relationship Id="rId513" Type="http://schemas.openxmlformats.org/officeDocument/2006/relationships/hyperlink" Target="https://www.linkedin.com/in/javierburgos/" TargetMode="External"/><Relationship Id="rId597" Type="http://schemas.openxmlformats.org/officeDocument/2006/relationships/hyperlink" Target="https://www.linkedin.com/in/ezequiel-emiliano-vargas-aba611135/?_gl=1*15nzshj*_gcl_au*MTM3Nzk3OTQyOC4xNzYwMzc2NTg0*_ga*MjExNDgzNDk1Ni4xNzYyMzY5NzM3*_ga_7C6N0WZ5Q3*czE3NjU4MjQzMDkkbzIxOSRnMSR0MTc2NTgyNjI5MSRqMjgkbDAkaDA" TargetMode="External"/><Relationship Id="rId720" Type="http://schemas.openxmlformats.org/officeDocument/2006/relationships/hyperlink" Target="https://www.linkedin.com/in/seamodeo/" TargetMode="External"/><Relationship Id="rId818" Type="http://schemas.openxmlformats.org/officeDocument/2006/relationships/table" Target="../tables/table2.xml"/><Relationship Id="rId152" Type="http://schemas.openxmlformats.org/officeDocument/2006/relationships/hyperlink" Target="https://www.linkedin.com/in/braian-alexander-parada-4a2976108?lipi=urn%3Ali%3Apage%3Ad_flagship3_profile_view_base_contact_details%3BnErgfUGqTE6Fyc4%2BkKlSSA%3D%3D" TargetMode="External"/><Relationship Id="rId457" Type="http://schemas.openxmlformats.org/officeDocument/2006/relationships/hyperlink" Target="https://www.linkedin.com/in/carlos-imberti-b19386166/?_gl=1*fc0xlb*_gcl_au*MTM3Nzk3OTQyOC4xNzYwMzc2NTg0*_ga*MjExNDgzNDk1Ni4xNzYyMzY5NzM3*_ga_7C6N0WZ5Q3*czE3NjUyOTk5NjckbzIxMiRnMSR0MTc2NTMwNTg5MyRqMjgkbDAkaDA" TargetMode="External"/><Relationship Id="rId664" Type="http://schemas.openxmlformats.org/officeDocument/2006/relationships/hyperlink" Target="https://www.linkedin.com/in/luis-chehin-288496276/" TargetMode="External"/><Relationship Id="rId14" Type="http://schemas.openxmlformats.org/officeDocument/2006/relationships/hyperlink" Target="https://www.linkedin.com/in/marcesg/" TargetMode="External"/><Relationship Id="rId317" Type="http://schemas.openxmlformats.org/officeDocument/2006/relationships/hyperlink" Target="https://www.linkedin.com/in/pablohguzman/?_gl=1*aqyt4x*_gcl_au*MTM3Nzk3OTQyOC4xNzYwMzc2NTg0*_ga*MjExNDgzNDk1Ni4xNzYyMzY5NzM3*_ga_7C6N0WZ5Q3*czE3NjI5NjcwMTEkbzE3OSRnMSR0MTc2Mjk3MjQ0MCRqNDQkbDAkaDA" TargetMode="External"/><Relationship Id="rId524" Type="http://schemas.openxmlformats.org/officeDocument/2006/relationships/hyperlink" Target="https://www.linkedin.com/in/leticia-soledad-capella-484027227/" TargetMode="External"/><Relationship Id="rId731" Type="http://schemas.openxmlformats.org/officeDocument/2006/relationships/hyperlink" Target="https://www.linkedin.com/in/carlos-isaac-01375b11/" TargetMode="External"/><Relationship Id="rId98" Type="http://schemas.openxmlformats.org/officeDocument/2006/relationships/hyperlink" Target="https://www.linkedin.com/in/pablo-sabolo-33ba5a162?_gl=1*8zufji*_gcl_au*MTM3Nzk3OTQyOC4xNzYwMzc2NTg0*_ga*NjEwNDgwNDEzLjE3NTkyNDAzNTk.*_ga_7C6N0WZ5Q3*czE3NjEzMTIwNzAkbzE0MCRnMSR0MTc2MTMxMzY4MiRqNTUkbDAkaDA" TargetMode="External"/><Relationship Id="rId163" Type="http://schemas.openxmlformats.org/officeDocument/2006/relationships/hyperlink" Target="mailto:hcozzani@sanatorio-americano.com.ar" TargetMode="External"/><Relationship Id="rId370" Type="http://schemas.openxmlformats.org/officeDocument/2006/relationships/hyperlink" Target="https://www.linkedin.com/in/solisjav/?_gl=1*ljg9tg*_gcl_au*MTM3Nzk3OTQyOC4xNzYwMzc2NTg0*_ga*MjExNDgzNDk1Ni4xNzYyMzY5NzM3*_ga_7C6N0WZ5Q3*czE3NjQ4Njg3NjckbzIwOCRnMSR0MTc2NDg3NTk2MCRqNjAkbDAkaDA" TargetMode="External"/><Relationship Id="rId230" Type="http://schemas.openxmlformats.org/officeDocument/2006/relationships/hyperlink" Target="https://www.linkedin.com/in/fernando-javier-marchesin-a89b49a5/?_gl=1*a277e4*_gcl_au*MTM3Nzk3OTQyOC4xNzYwMzc2NTg0*_ga*MjExNDgzNDk1Ni4xNzYyMzY5NzM3*_ga_7C6N0WZ5Q3*czE3NjI0Mzk2ODEkbzE2NCRnMCR0MTc2MjQzOTY4MSRqNjAkbDAkaDA" TargetMode="External"/><Relationship Id="rId468" Type="http://schemas.openxmlformats.org/officeDocument/2006/relationships/hyperlink" Target="https://www.linkedin.com/in/placido-tita-5755a411/?_gl=1*1vh9mjy*_gcl_au*MTM3Nzk3OTQyOC4xNzYwMzc2NTg0*_ga*MjExNDgzNDk1Ni4xNzYyMzY5NzM3*_ga_7C6N0WZ5Q3*czE3NjUzNzExOTgkbzIxMyRnMSR0MTc2NTM3NTkwNCRqNTQkbDAkaDA" TargetMode="External"/><Relationship Id="rId675" Type="http://schemas.openxmlformats.org/officeDocument/2006/relationships/hyperlink" Target="https://www.linkedin.com/in/mariano-baruffi-a02864169/" TargetMode="External"/><Relationship Id="rId25" Type="http://schemas.openxmlformats.org/officeDocument/2006/relationships/hyperlink" Target="mailto:penasco@uncuyo.edu.ar" TargetMode="External"/><Relationship Id="rId328" Type="http://schemas.openxmlformats.org/officeDocument/2006/relationships/hyperlink" Target="mailto:mcanete@alberdi.com.ar" TargetMode="External"/><Relationship Id="rId535" Type="http://schemas.openxmlformats.org/officeDocument/2006/relationships/hyperlink" Target="https://www.linkedin.com/in/walter-rodriguez-b66ab733/" TargetMode="External"/><Relationship Id="rId742" Type="http://schemas.openxmlformats.org/officeDocument/2006/relationships/hyperlink" Target="https://www.linkedin.com/in/missanafranco/" TargetMode="External"/><Relationship Id="rId174" Type="http://schemas.openxmlformats.org/officeDocument/2006/relationships/hyperlink" Target="mailto:sistemas@plasticoslarioja.com" TargetMode="External"/><Relationship Id="rId381" Type="http://schemas.openxmlformats.org/officeDocument/2006/relationships/hyperlink" Target="https://www.linkedin.com/in/maximilianomarin/?_gl=1*102jon9*_gcl_au*MTM3Nzk3OTQyOC4xNzYwMzc2NTg0*_ga*MjExNDgzNDk1Ni4xNzYyMzY5NzM3*_ga_7C6N0WZ5Q3*czE3NjQ5NDA3MDgkbzIxMCRnMSR0MTc2NDk0NTI5OSRqMzMkbDAkaDA" TargetMode="External"/><Relationship Id="rId602" Type="http://schemas.openxmlformats.org/officeDocument/2006/relationships/hyperlink" Target="https://www.linkedin.com/in/daniel-courtade-849ba51b5/?_gl=1*vm0zh3*_gcl_au*MTM3Nzk3OTQyOC4xNzYwMzc2NTg0*_ga*MjExNDgzNDk1Ni4xNzYyMzY5NzM3*_ga_7C6N0WZ5Q3*czE3NjU4MjQzMDkkbzIxOSRnMSR0MTc2NTgyNjI5MSRqMjgkbDAkaDA" TargetMode="External"/><Relationship Id="rId241" Type="http://schemas.openxmlformats.org/officeDocument/2006/relationships/hyperlink" Target="mailto:diego.glaz@vistaenergy.com" TargetMode="External"/><Relationship Id="rId479" Type="http://schemas.openxmlformats.org/officeDocument/2006/relationships/hyperlink" Target="https://www.linkedin.com/in/jose-garcia-castellanos-7b865342/?_gl=1*685fcy*_gcl_au*MTM3Nzk3OTQyOC4xNzYwMzc2NTg0*_ga*MjExNDgzNDk1Ni4xNzYyMzY5NzM3*_ga_7C6N0WZ5Q3*czE3NjUzNzExOTgkbzIxMyRnMSR0MTc2NTM4MTUyNSRqNTIkbDAkaDA" TargetMode="External"/><Relationship Id="rId686" Type="http://schemas.openxmlformats.org/officeDocument/2006/relationships/hyperlink" Target="https://www.linkedin.com/in/marco-limpias-moreno-b778b136/" TargetMode="External"/><Relationship Id="rId36" Type="http://schemas.openxmlformats.org/officeDocument/2006/relationships/hyperlink" Target="mailto:marcela.falco@me.cba.gov.ar" TargetMode="External"/><Relationship Id="rId339" Type="http://schemas.openxmlformats.org/officeDocument/2006/relationships/hyperlink" Target="https://www.linkedin.com/in/arian-valles/" TargetMode="External"/><Relationship Id="rId546" Type="http://schemas.openxmlformats.org/officeDocument/2006/relationships/hyperlink" Target="https://www.linkedin.com/in/alexiscolina25/" TargetMode="External"/><Relationship Id="rId753" Type="http://schemas.openxmlformats.org/officeDocument/2006/relationships/hyperlink" Target="https://www.linkedin.com/in/marcelo-pablo-rickert-ba942973/" TargetMode="External"/><Relationship Id="rId101" Type="http://schemas.openxmlformats.org/officeDocument/2006/relationships/hyperlink" Target="mailto:ascanelli@ascanellisa.com.ar" TargetMode="External"/><Relationship Id="rId185" Type="http://schemas.openxmlformats.org/officeDocument/2006/relationships/hyperlink" Target="mailto:agustin.largayoli@celerinternet.com" TargetMode="External"/><Relationship Id="rId406" Type="http://schemas.openxmlformats.org/officeDocument/2006/relationships/hyperlink" Target="https://www.linkedin.com/in/natalia-nicola/" TargetMode="External"/><Relationship Id="rId392" Type="http://schemas.openxmlformats.org/officeDocument/2006/relationships/hyperlink" Target="https://www.linkedin.com/in/hernanmgimenez/?_gl=1*1pobefl*_gcl_au*MTM3Nzk3OTQyOC4xNzYwMzc2NTg0*_ga*MjExNDgzNDk1Ni4xNzYyMzY5NzM3*_ga_7C6N0WZ5Q3*czE3NjUyODQxMDckbzIxMSRnMSR0MTc2NTI4ODY3NiRqNjAkbDAkaDA" TargetMode="External"/><Relationship Id="rId613" Type="http://schemas.openxmlformats.org/officeDocument/2006/relationships/hyperlink" Target="https://www.linkedin.com/in/damiangarcia1424a36/?_gl=1*1rk8ocw*_gcl_au*MTM3Nzk3OTQyOC4xNzYwMzc2NTg0*_ga*MjExNDgzNDk1Ni4xNzYyMzY5NzM3*_ga_7C6N0WZ5Q3*czE3NjU4MjQzMDkkbzIxOSRnMSR0MTc2NTgyODc5MCRqNjAkbDAkaDA" TargetMode="External"/><Relationship Id="rId697" Type="http://schemas.openxmlformats.org/officeDocument/2006/relationships/hyperlink" Target="https://www.linkedin.com/in/jessica-silvina-baz%C3%A1n-872655257/" TargetMode="External"/><Relationship Id="rId252" Type="http://schemas.openxmlformats.org/officeDocument/2006/relationships/hyperlink" Target="mailto:gabriela.guzmanmunoz@uncuyo.edu.ar" TargetMode="External"/><Relationship Id="rId47" Type="http://schemas.openxmlformats.org/officeDocument/2006/relationships/hyperlink" Target="https://www.linkedin.com/in/gerardo-franceschi-29706593?_gl=1*1ah55cs*_gcl_au*MTM3Nzk3OTQyOC4xNzYwMzc2NTg0*_ga*NjEwNDgwNDEzLjE3NTkyNDAzNTk.*_ga_7C6N0WZ5Q3*czE3NjExNTQ5MjYkbzEzNyRnMSR0MTc2MTE1NjIzOCRqNjAkbDAkaDA" TargetMode="External"/><Relationship Id="rId112" Type="http://schemas.openxmlformats.org/officeDocument/2006/relationships/hyperlink" Target="https://www.linkedin.com/in/leandro-villavicencio-08055a46?lipi=urn%3Ali%3Apage%3Ad_flagship3_profile_view_base_contact_details%3BScXpv%2BdTQO6KQCdmULLTpw%3D%3D" TargetMode="External"/><Relationship Id="rId557" Type="http://schemas.openxmlformats.org/officeDocument/2006/relationships/hyperlink" Target="https://www.linkedin.com/in/ignacio-falbo-304b32218/" TargetMode="External"/><Relationship Id="rId764" Type="http://schemas.openxmlformats.org/officeDocument/2006/relationships/hyperlink" Target="https://www.linkedin.com/in/oscarbringas/" TargetMode="External"/><Relationship Id="rId196" Type="http://schemas.openxmlformats.org/officeDocument/2006/relationships/hyperlink" Target="mailto:roberto.rocha@bpn.com.ar" TargetMode="External"/><Relationship Id="rId417" Type="http://schemas.openxmlformats.org/officeDocument/2006/relationships/hyperlink" Target="https://www.linkedin.com/in/amilcar-sequeira-5a8a4849/" TargetMode="External"/><Relationship Id="rId624" Type="http://schemas.openxmlformats.org/officeDocument/2006/relationships/hyperlink" Target="https://www.linkedin.com/in/javier-caceres-/" TargetMode="External"/><Relationship Id="rId263" Type="http://schemas.openxmlformats.org/officeDocument/2006/relationships/hyperlink" Target="https://www.linkedin.com/in/ayrtonsejas/" TargetMode="External"/><Relationship Id="rId470" Type="http://schemas.openxmlformats.org/officeDocument/2006/relationships/hyperlink" Target="https://www.linkedin.com/in/roberto-buttiero-6777582b/?_gl=1*1vh9mjy*_gcl_au*MTM3Nzk3OTQyOC4xNzYwMzc2NTg0*_ga*MjExNDgzNDk1Ni4xNzYyMzY5NzM3*_ga_7C6N0WZ5Q3*czE3NjUzNzExOTgkbzIxMyRnMSR0MTc2NTM3NTkwNCRqNTQkbDAkaDA" TargetMode="External"/><Relationship Id="rId58" Type="http://schemas.openxmlformats.org/officeDocument/2006/relationships/hyperlink" Target="https://www.linkedin.com/in/leandro-barbier-794582a9/" TargetMode="External"/><Relationship Id="rId123" Type="http://schemas.openxmlformats.org/officeDocument/2006/relationships/hyperlink" Target="mailto:ecordeiro@grupocordeiro.com.ar" TargetMode="External"/><Relationship Id="rId330" Type="http://schemas.openxmlformats.org/officeDocument/2006/relationships/hyperlink" Target="mailto:leandro.gomez@bancojulio.com.ar" TargetMode="External"/><Relationship Id="rId568" Type="http://schemas.openxmlformats.org/officeDocument/2006/relationships/hyperlink" Target="https://www.linkedin.com/in/milton-gamarra-83691a238/" TargetMode="External"/><Relationship Id="rId775" Type="http://schemas.openxmlformats.org/officeDocument/2006/relationships/hyperlink" Target="https://www.linkedin.com/in/luis-rebora/" TargetMode="External"/><Relationship Id="rId428" Type="http://schemas.openxmlformats.org/officeDocument/2006/relationships/hyperlink" Target="https://www.linkedin.com/in/matias-tuso-b14435176/" TargetMode="External"/><Relationship Id="rId635" Type="http://schemas.openxmlformats.org/officeDocument/2006/relationships/hyperlink" Target="https://www.linkedin.com/in/gabriel-mendiola-750367356/" TargetMode="External"/><Relationship Id="rId274" Type="http://schemas.openxmlformats.org/officeDocument/2006/relationships/hyperlink" Target="mailto:esteban.gaboardi@zaldivar.com" TargetMode="External"/><Relationship Id="rId481" Type="http://schemas.openxmlformats.org/officeDocument/2006/relationships/hyperlink" Target="https://www.linkedin.com/in/hugo-perez-23565520b/?_gl=1*685fcy*_gcl_au*MTM3Nzk3OTQyOC4xNzYwMzc2NTg0*_ga*MjExNDgzNDk1Ni4xNzYyMzY5NzM3*_ga_7C6N0WZ5Q3*czE3NjUzNzExOTgkbzIxMyRnMSR0MTc2NTM4MTUyNSRqNTIkbDAkaDA" TargetMode="External"/><Relationship Id="rId702" Type="http://schemas.openxmlformats.org/officeDocument/2006/relationships/hyperlink" Target="https://www.linkedin.com/in/pablo-gil-villagran-42ab1035/" TargetMode="External"/><Relationship Id="rId69" Type="http://schemas.openxmlformats.org/officeDocument/2006/relationships/hyperlink" Target="https://www.linkedin.com/in/juan-jos%C3%A9-gomez?lipi=urn%3Ali%3Apage%3Ad_flagship3_profile_view_base_contact_details%3BxunDsluvSWmr8XPX4naniA%3D%3D" TargetMode="External"/><Relationship Id="rId134" Type="http://schemas.openxmlformats.org/officeDocument/2006/relationships/hyperlink" Target="mailto:gsiciliano@hormi-block.com.ar" TargetMode="External"/><Relationship Id="rId579" Type="http://schemas.openxmlformats.org/officeDocument/2006/relationships/hyperlink" Target="https://www.linkedin.com/in/damian-neri-panzera-77854239/" TargetMode="External"/><Relationship Id="rId786" Type="http://schemas.openxmlformats.org/officeDocument/2006/relationships/hyperlink" Target="https://www.linkedin.com/in/ra%C3%BAl-jos%C3%A9-paolasso-aaaa672b/" TargetMode="External"/><Relationship Id="rId341" Type="http://schemas.openxmlformats.org/officeDocument/2006/relationships/hyperlink" Target="mailto:fcorrea@bancocoinag.com" TargetMode="External"/><Relationship Id="rId439" Type="http://schemas.openxmlformats.org/officeDocument/2006/relationships/hyperlink" Target="https://www.linkedin.com/in/gerardo-moyano-cires/?_gl=1*1az0fey*_gcl_au*MTM3Nzk3OTQyOC4xNzYwMzc2NTg0*_ga*MjExNDgzNDk1Ni4xNzYyMzY5NzM3*_ga_7C6N0WZ5Q3*czE3NjUyOTk5NjckbzIxMiRnMSR0MTc2NTMwMDIwNCRqNjAkbDAkaDA" TargetMode="External"/><Relationship Id="rId646" Type="http://schemas.openxmlformats.org/officeDocument/2006/relationships/hyperlink" Target="mailto:apiscopo@velo-argentina.com.ar" TargetMode="External"/><Relationship Id="rId201" Type="http://schemas.openxmlformats.org/officeDocument/2006/relationships/hyperlink" Target="mailto:monteroj@bpn.com.ar" TargetMode="External"/><Relationship Id="rId285" Type="http://schemas.openxmlformats.org/officeDocument/2006/relationships/hyperlink" Target="https://www.linkedin.com/in/roberto-carlos-san-mart%C3%ADn/" TargetMode="External"/><Relationship Id="rId506" Type="http://schemas.openxmlformats.org/officeDocument/2006/relationships/hyperlink" Target="https://www.linkedin.com/in/ma-cecilia-cardamone-80b22838/?_gl=1*uuws4k*_gcl_au*NTg4MTU1Mzc0LjE3NjQxODA3Mjg.*_ga*NzM0MDM5NTAwLjE3NjQxODA3Mjk.*_ga_7C6N0WZ5Q3*czE3NjU0NjYzMTYkbzI4JGcxJHQxNzY1NDY3MjEzJGoxMSRsMCRoMA" TargetMode="External"/><Relationship Id="rId492" Type="http://schemas.openxmlformats.org/officeDocument/2006/relationships/hyperlink" Target="https://www.linkedin.com/in/pedro-oliveira-419a9043/" TargetMode="External"/><Relationship Id="rId713" Type="http://schemas.openxmlformats.org/officeDocument/2006/relationships/hyperlink" Target="https://www.linkedin.com/in/eliana-paola-paesani-7a127850/?_gl=1*1v6mc7f*_gcl_au*MTAxMjYxODkuMTc2ODMxMTQ3Nw..*_ga*MjExNDgzNDk1Ni4xNzYyMzY5NzM3*_ga_7C6N0WZ5Q3*czE3NjkxMDU2MDAkbzI0MCRnMSR0MTc2OTEwNTkzNyRqMTIkbDAkaDA" TargetMode="External"/><Relationship Id="rId797" Type="http://schemas.openxmlformats.org/officeDocument/2006/relationships/hyperlink" Target="https://www.linkedin.com/in/mauricio-gimenez-4a9900149/" TargetMode="External"/><Relationship Id="rId145" Type="http://schemas.openxmlformats.org/officeDocument/2006/relationships/hyperlink" Target="mailto:rgonzalezmoron@mdzol.com" TargetMode="External"/><Relationship Id="rId352" Type="http://schemas.openxmlformats.org/officeDocument/2006/relationships/hyperlink" Target="https://www.linkedin.com/in/marcelo-roca-7b918114/" TargetMode="External"/><Relationship Id="rId212" Type="http://schemas.openxmlformats.org/officeDocument/2006/relationships/hyperlink" Target="mailto:jmgracia@grupoemepa.com.ar" TargetMode="External"/><Relationship Id="rId657" Type="http://schemas.openxmlformats.org/officeDocument/2006/relationships/hyperlink" Target="https://www.linkedin.com/in/gustavo-robles-41837b126/" TargetMode="External"/><Relationship Id="rId296" Type="http://schemas.openxmlformats.org/officeDocument/2006/relationships/hyperlink" Target="https://www.linkedin.com/in/alejandro-raul-vicentini-a71a9217/?_gl=1*fib3uz*_gcl_au*MTM3Nzk3OTQyOC4xNzYwMzc2NTg0*_ga*MjExNDgzNDk1Ni4xNzYyMzY5NzM3*_ga_7C6N0WZ5Q3*czE3NjI4ODU3MzMkbzE3NSRnMSR0MTc2Mjg4OTU1MCRqNCRsMCRoMA" TargetMode="External"/><Relationship Id="rId517" Type="http://schemas.openxmlformats.org/officeDocument/2006/relationships/hyperlink" Target="mailto:sistemas@consejosalta.org.ar%20//%20ghisamatsu@consejosalta.org.ar" TargetMode="External"/><Relationship Id="rId724" Type="http://schemas.openxmlformats.org/officeDocument/2006/relationships/hyperlink" Target="https://www.linkedin.com/in/nicol%C3%A1s-arisio-9a088630/" TargetMode="External"/><Relationship Id="rId60" Type="http://schemas.openxmlformats.org/officeDocument/2006/relationships/hyperlink" Target="https://www.linkedin.com/in/sebasti%C3%A1n-moya-57a51530?lipi=urn%3Ali%3Apage%3Ad_flagship3_profile_view_base_contact_details%3BjXAA6wevQ2mZptkZHbzgoQ%3D%3D" TargetMode="External"/><Relationship Id="rId156" Type="http://schemas.openxmlformats.org/officeDocument/2006/relationships/hyperlink" Target="mailto:javier.galisteo@verallia.com" TargetMode="External"/><Relationship Id="rId363" Type="http://schemas.openxmlformats.org/officeDocument/2006/relationships/hyperlink" Target="https://www.linkedin.com/in/juan-manuel-bertoldi-31b97924/overlay/photo/" TargetMode="External"/><Relationship Id="rId570" Type="http://schemas.openxmlformats.org/officeDocument/2006/relationships/hyperlink" Target="https://www.linkedin.com/in/diego-tom%C3%A1s-ulibarrie/" TargetMode="External"/><Relationship Id="rId223" Type="http://schemas.openxmlformats.org/officeDocument/2006/relationships/hyperlink" Target="https://www.linkedin.com/in/jeremias-acconci-6650ba11b/?_gl=1*1pyay9g*_gcl_au*MTM3Nzk3OTQyOC4xNzYwMzc2NTg0*_ga*MjExNDgzNDk1Ni4xNzYyMzY5NzM3*_ga_7C6N0WZ5Q3*czE3NjI0MzM3MzAkbzE2MyRnMSR0MTc2MjQzNDc2NiRqNTgkbDAkaDA" TargetMode="External"/><Relationship Id="rId430" Type="http://schemas.openxmlformats.org/officeDocument/2006/relationships/hyperlink" Target="https://www.linkedin.com/in/sergio-jaremczuk/" TargetMode="External"/><Relationship Id="rId668" Type="http://schemas.openxmlformats.org/officeDocument/2006/relationships/hyperlink" Target="https://www.linkedin.com/in/yaluk/" TargetMode="External"/><Relationship Id="rId18" Type="http://schemas.openxmlformats.org/officeDocument/2006/relationships/hyperlink" Target="https://www.linkedin.com/in/carlos-reynoso-27765b68/" TargetMode="External"/><Relationship Id="rId528" Type="http://schemas.openxmlformats.org/officeDocument/2006/relationships/hyperlink" Target="https://www.linkedin.com/in/npadula/" TargetMode="External"/><Relationship Id="rId735" Type="http://schemas.openxmlformats.org/officeDocument/2006/relationships/hyperlink" Target="https://www.linkedin.com/in/raul-gustavo-albornoz-9a3ab346/" TargetMode="External"/><Relationship Id="rId167" Type="http://schemas.openxmlformats.org/officeDocument/2006/relationships/hyperlink" Target="https://www.linkedin.com/in/fernando-jauregui-84024a140?lipi=urn%3Ali%3Apage%3Ad_flagship3_profile_view_base_contact_details%3Bxfi%2BpSP0SvaPlXvzTgZWsg%3D%3D" TargetMode="External"/><Relationship Id="rId374" Type="http://schemas.openxmlformats.org/officeDocument/2006/relationships/hyperlink" Target="https://www.linkedin.com/in/sebasti%C3%A1n-ronsano-94853526/?_gl=1*ki8ii5*_gcl_au*MTM3Nzk3OTQyOC4xNzYwMzc2NTg0*_ga*MjExNDgzNDk1Ni4xNzYyMzY5NzM3*_ga_7C6N0WZ5Q3*czE3NjQ5NDA3MDgkbzIxMCRnMSR0MTc2NDk0MzU3MCRqNjAkbDAkaDA" TargetMode="External"/><Relationship Id="rId581" Type="http://schemas.openxmlformats.org/officeDocument/2006/relationships/hyperlink" Target="mailto:fabio.adrianolivera@kretz.com.ar" TargetMode="External"/><Relationship Id="rId71" Type="http://schemas.openxmlformats.org/officeDocument/2006/relationships/hyperlink" Target="https://www.linkedin.com/in/sebastian-dario-perea-2626b71a/" TargetMode="External"/><Relationship Id="rId234" Type="http://schemas.openxmlformats.org/officeDocument/2006/relationships/hyperlink" Target="https://www.linkedin.com/in/federico-gjerding-36a508185/?_gl=1*10t6loc*_gcl_au*MTM3Nzk3OTQyOC4xNzYwMzc2NTg0*_ga*MjExNDgzNDk1Ni4xNzYyMzY5NzM3*_ga_7C6N0WZ5Q3*czE3NjI0NTUyNDEkbzE2NSRnMSR0MTc2MjQ1NjY5MSRqMTgkbDAkaDA" TargetMode="External"/><Relationship Id="rId679" Type="http://schemas.openxmlformats.org/officeDocument/2006/relationships/hyperlink" Target="https://www.linkedin.com/in/agustinkasem/" TargetMode="External"/><Relationship Id="rId802" Type="http://schemas.openxmlformats.org/officeDocument/2006/relationships/hyperlink" Target="https://www.linkedin.com/in/gabriel-fernandez-b4589244/" TargetMode="External"/><Relationship Id="rId2" Type="http://schemas.openxmlformats.org/officeDocument/2006/relationships/hyperlink" Target="https://www.linkedin.com/in/carina-cozzolino" TargetMode="External"/><Relationship Id="rId29" Type="http://schemas.openxmlformats.org/officeDocument/2006/relationships/hyperlink" Target="mailto:caranci@uncu.edu.ar" TargetMode="External"/><Relationship Id="rId441" Type="http://schemas.openxmlformats.org/officeDocument/2006/relationships/hyperlink" Target="https://www.linkedin.com/in/german-destefanis-67914126/?_gl=1*1rexnss*_gcl_au*MTM3Nzk3OTQyOC4xNzYwMzc2NTg0*_ga*MjExNDgzNDk1Ni4xNzYyMzY5NzM3*_ga_7C6N0WZ5Q3*czE3NjUyOTk5NjckbzIxMiRnMSR0MTc2NTMwMjAyNCRqNjAkbDAkaDA" TargetMode="External"/><Relationship Id="rId539" Type="http://schemas.openxmlformats.org/officeDocument/2006/relationships/hyperlink" Target="https://www.linkedin.com/in/franco-cian/" TargetMode="External"/><Relationship Id="rId746" Type="http://schemas.openxmlformats.org/officeDocument/2006/relationships/hyperlink" Target="https://www.linkedin.com/in/maurofermani/" TargetMode="External"/><Relationship Id="rId178" Type="http://schemas.openxmlformats.org/officeDocument/2006/relationships/hyperlink" Target="https://www.linkedin.com/in/luis-fernandez-2ba36885/?_gl=1*17irwqz*_gcl_au*MTM3Nzk3OTQyOC4xNzYwMzc2NTg0*_ga*NjEwNDgwNDEzLjE3NTkyNDAzNTk.*_ga_7C6N0WZ5Q3*czE3NjE3NDI4OTgkbzE0OSRnMSR0MTc2MTc0NTA5NSRqNjAkbDAkaDA" TargetMode="External"/><Relationship Id="rId301" Type="http://schemas.openxmlformats.org/officeDocument/2006/relationships/hyperlink" Target="https://www.linkedin.com/in/alexthyoung/?_gl=1*jb4k7e*_gcl_au*MTM3Nzk3OTQyOC4xNzYwMzc2NTg0*_ga*MjExNDgzNDk1Ni4xNzYyMzY5NzM3*_ga_7C6N0WZ5Q3*czE3NjI5NTE3NTkkbzE3NyRnMSR0MTc2Mjk1NDEwOSRqNDkkbDAkaDA" TargetMode="External"/><Relationship Id="rId82" Type="http://schemas.openxmlformats.org/officeDocument/2006/relationships/hyperlink" Target="mailto:bgimenez@edemsa.com" TargetMode="External"/><Relationship Id="rId385" Type="http://schemas.openxmlformats.org/officeDocument/2006/relationships/hyperlink" Target="https://www.linkedin.com/in/david-elvio-bagaloni-1a7992202/" TargetMode="External"/><Relationship Id="rId592" Type="http://schemas.openxmlformats.org/officeDocument/2006/relationships/hyperlink" Target="https://www.linkedin.com/in/lucasguirin/" TargetMode="External"/><Relationship Id="rId606" Type="http://schemas.openxmlformats.org/officeDocument/2006/relationships/hyperlink" Target="https://www.linkedin.com/in/miguel-angel-acosta-a0533947/?_gl=1*1k9t94g*_gcl_au*MTM3Nzk3OTQyOC4xNzYwMzc2NTg0*_ga*MjExNDgzNDk1Ni4xNzYyMzY5NzM3*_ga_7C6N0WZ5Q3*czE3NjU4MjQzMDkkbzIxOSRnMSR0MTc2NTgyNzIyNSRqNTkkbDAkaDA" TargetMode="External"/><Relationship Id="rId813" Type="http://schemas.openxmlformats.org/officeDocument/2006/relationships/hyperlink" Target="https://www.linkedin.com/in/ing-pablo-oscar-nu%C3%B1ez-a28a9111/" TargetMode="External"/><Relationship Id="rId245" Type="http://schemas.openxmlformats.org/officeDocument/2006/relationships/hyperlink" Target="https://www.linkedin.com/in/gabriel-torress/" TargetMode="External"/><Relationship Id="rId452" Type="http://schemas.openxmlformats.org/officeDocument/2006/relationships/hyperlink" Target="https://www.linkedin.com/in/paula-toledo-/" TargetMode="External"/><Relationship Id="rId105" Type="http://schemas.openxmlformats.org/officeDocument/2006/relationships/hyperlink" Target="mailto:raul.gomezgascon@montemarciafin.com.arr" TargetMode="External"/><Relationship Id="rId312" Type="http://schemas.openxmlformats.org/officeDocument/2006/relationships/hyperlink" Target="mailto:mmonea@systel.com.ar" TargetMode="External"/><Relationship Id="rId757" Type="http://schemas.openxmlformats.org/officeDocument/2006/relationships/hyperlink" Target="https://www.linkedin.com/in/alejandro-daniel-vonich-14015a9/?locale=es" TargetMode="External"/><Relationship Id="rId93" Type="http://schemas.openxmlformats.org/officeDocument/2006/relationships/hyperlink" Target="https://www.linkedin.com/in/mauricio-guill%C3%A9n-bautista-108441305?lipi=urn%3Ali%3Apage%3Ad_flagship3_profile_view_base_contact_details%3BHDs3j5OiRPaL7s7J%2By7uEQ%3D%3D" TargetMode="External"/><Relationship Id="rId189" Type="http://schemas.openxmlformats.org/officeDocument/2006/relationships/hyperlink" Target="https://www.linkedin.com/in/diego-martinez-5a481492/?_gl=1*19t1xmu*_gcl_au*MTM3Nzk3OTQyOC4xNzYwMzc2NTg0*_ga*NjEwNDgwNDEzLjE3NTkyNDAzNTk.*_ga_7C6N0WZ5Q3*czE3NjE3NDI4OTgkbzE0OSRnMSR0MTc2MTc0Nzc2OSRqNiRsMCRoMA" TargetMode="External"/><Relationship Id="rId396" Type="http://schemas.openxmlformats.org/officeDocument/2006/relationships/hyperlink" Target="https://www.linkedin.com/in/sebastian-irazuzta-18b29b2/?_gl=1*13r7awx*_gcl_au*MTM3Nzk3OTQyOC4xNzYwMzc2NTg0*_ga*MjExNDgzNDk1Ni4xNzYyMzY5NzM3*_ga_7C6N0WZ5Q3*czE3NjUyODQxMDckbzIxMSRnMSR0MTc2NTI4OTQzNSRqMjckbDAkaDA" TargetMode="External"/><Relationship Id="rId617" Type="http://schemas.openxmlformats.org/officeDocument/2006/relationships/hyperlink" Target="https://www.linkedin.com/in/exequiel-barrionuevo-a1a546302/" TargetMode="External"/><Relationship Id="rId256" Type="http://schemas.openxmlformats.org/officeDocument/2006/relationships/hyperlink" Target="mailto:cabraham@crexellsa.com.ar" TargetMode="External"/><Relationship Id="rId463" Type="http://schemas.openxmlformats.org/officeDocument/2006/relationships/hyperlink" Target="https://www.linkedin.com/in/ezequielsaavedra/?_gl=1*f14s19*_gcl_au*MTM3Nzk3OTQyOC4xNzYwMzc2NTg0*_ga*MjExNDgzNDk1Ni4xNzYyMzY5NzM3*_ga_7C6N0WZ5Q3*czE3NjUzNzExOTgkbzIxMyRnMSR0MTc2NTM3NTU3MyRqNjAkbDAkaDA" TargetMode="External"/><Relationship Id="rId670" Type="http://schemas.openxmlformats.org/officeDocument/2006/relationships/hyperlink" Target="https://www.linkedin.com/in/jjcano1980/" TargetMode="External"/><Relationship Id="rId116" Type="http://schemas.openxmlformats.org/officeDocument/2006/relationships/hyperlink" Target="https://www.linkedin.com/in/luis-gabriel-guerra?lipi=urn%3Ali%3Apage%3Ad_flagship3_profile_view_base_contact_details%3BmBZBQZY%2BRXKHZeFNEARKRw%3D%3D" TargetMode="External"/><Relationship Id="rId323" Type="http://schemas.openxmlformats.org/officeDocument/2006/relationships/hyperlink" Target="https://www.linkedin.com/in/matias-gabriel-gattone-95ba0542/?_gl=1*enge5m*_gcl_au*MTM3Nzk3OTQyOC4xNzYwMzc2NTg0*_ga*MjExNDgzNDk1Ni4xNzYyMzY5NzM3*_ga_7C6N0WZ5Q3*czE3NjI5NjcwMTEkbzE3OSRnMSR0MTc2Mjk3MjQ0MCRqNDQkbDAkaDA" TargetMode="External"/><Relationship Id="rId530" Type="http://schemas.openxmlformats.org/officeDocument/2006/relationships/hyperlink" Target="mailto:mnievas@cajaprevision.org" TargetMode="External"/><Relationship Id="rId768" Type="http://schemas.openxmlformats.org/officeDocument/2006/relationships/hyperlink" Target="https://www.linkedin.com/in/pabloflook/" TargetMode="External"/><Relationship Id="rId20" Type="http://schemas.openxmlformats.org/officeDocument/2006/relationships/hyperlink" Target="https://www.linkedin.com/in/alejandro-oscar-mazzeo-87b5b022/" TargetMode="External"/><Relationship Id="rId628" Type="http://schemas.openxmlformats.org/officeDocument/2006/relationships/hyperlink" Target="mailto:sistemas@vadiegsa.com" TargetMode="External"/><Relationship Id="rId267" Type="http://schemas.openxmlformats.org/officeDocument/2006/relationships/hyperlink" Target="https://www.linkedin.com/in/mateo-castano-angel/" TargetMode="External"/><Relationship Id="rId474" Type="http://schemas.openxmlformats.org/officeDocument/2006/relationships/hyperlink" Target="https://www.linkedin.com/in/guillermo-luciano-13975525/?_gl=1*cubjwk*_gcl_au*MTM3Nzk3OTQyOC4xNzYwMzc2NTg0*_ga*MjExNDgzNDk1Ni4xNzYyMzY5NzM3*_ga_7C6N0WZ5Q3*czE3NjUzNzExOTgkbzIxMyRnMSR0MTc2NTM3NzkxMyRqNjAkbDAkaDA" TargetMode="External"/><Relationship Id="rId127" Type="http://schemas.openxmlformats.org/officeDocument/2006/relationships/hyperlink" Target="mailto:lessio@lessio.com.ar" TargetMode="External"/><Relationship Id="rId681" Type="http://schemas.openxmlformats.org/officeDocument/2006/relationships/hyperlink" Target="https://www.linkedin.com/in/alejandro-maturano-4396b2172/" TargetMode="External"/><Relationship Id="rId779" Type="http://schemas.openxmlformats.org/officeDocument/2006/relationships/hyperlink" Target="https://www.linkedin.com/in/leandro-olivera-07893117/" TargetMode="External"/><Relationship Id="rId31" Type="http://schemas.openxmlformats.org/officeDocument/2006/relationships/hyperlink" Target="https://www.linkedin.com/in/maximiliano-phileas-a8607a23a?_gl=1*skp63p*_gcl_au*MTM3Nzk3OTQyOC4xNzYwMzc2NTg0*_ga*NjEwNDgwNDEzLjE3NTkyNDAzNTk.*_ga_7C6N0WZ5Q3*czE3NjExNDY1OTUkbzEzNiRnMSR0MTc2MTE0ODEwMSRqNjAkbDAkaDA" TargetMode="External"/><Relationship Id="rId334" Type="http://schemas.openxmlformats.org/officeDocument/2006/relationships/hyperlink" Target="https://www.linkedin.com/in/carlosalejandrobelloni?lipi=urn%3Ali%3Apage%3Ad_flagship3_profile_view_base_contact_details%3Bqio3ms5URKmRyfH8BNNA8w%3D%3D" TargetMode="External"/><Relationship Id="rId541" Type="http://schemas.openxmlformats.org/officeDocument/2006/relationships/hyperlink" Target="https://www.linkedin.com/in/dmaina/" TargetMode="External"/><Relationship Id="rId639" Type="http://schemas.openxmlformats.org/officeDocument/2006/relationships/hyperlink" Target="https://www.linkedin.com/in/rubenvisaguirre/" TargetMode="External"/><Relationship Id="rId180" Type="http://schemas.openxmlformats.org/officeDocument/2006/relationships/hyperlink" Target="mailto:mvallino@mazul.com.ar" TargetMode="External"/><Relationship Id="rId278" Type="http://schemas.openxmlformats.org/officeDocument/2006/relationships/hyperlink" Target="https://www.linkedin.com/in/gabriela-valdez-53076735b/?_gl=1*dkreos*_gcl_au*MTM3Nzk3OTQyOC4xNzYwMzc2NTg0*_ga*MjExNDgzNDk1Ni4xNzYyMzY5NzM3*_ga_7C6N0WZ5Q3*czE3NjI3OTQ2MTUkbzE3MyRnMSR0MTc2Mjc5NjcwOCRqNjAkbDAkaDA" TargetMode="External"/><Relationship Id="rId401" Type="http://schemas.openxmlformats.org/officeDocument/2006/relationships/hyperlink" Target="https://www.linkedin.com/in/kevin-oficialdegui/" TargetMode="External"/><Relationship Id="rId485" Type="http://schemas.openxmlformats.org/officeDocument/2006/relationships/hyperlink" Target="https://www.linkedin.com/in/emiliano-nicolas-busso-16212649/?_gl=1*165qpev*_gcl_au*MTM3Nzk3OTQyOC4xNzYwMzc2NTg0*_ga*MjExNDgzNDk1Ni4xNzYyMzY5NzM3*_ga_7C6N0WZ5Q3*czE3NjUzODY3OTAkbzIxNCRnMSR0MTc2NTM4NzA1NyRqNTckbDAkaDA" TargetMode="External"/><Relationship Id="rId692" Type="http://schemas.openxmlformats.org/officeDocument/2006/relationships/hyperlink" Target="https://www.linkedin.com/in/alejandra-de-angelis-2399ba54/" TargetMode="External"/><Relationship Id="rId706" Type="http://schemas.openxmlformats.org/officeDocument/2006/relationships/hyperlink" Target="https://www.linkedin.com/in/francisco-esteban-narvaiza-3681ba9/" TargetMode="External"/><Relationship Id="rId42" Type="http://schemas.openxmlformats.org/officeDocument/2006/relationships/hyperlink" Target="mailto:cmaders@epec.com.ar" TargetMode="External"/><Relationship Id="rId138" Type="http://schemas.openxmlformats.org/officeDocument/2006/relationships/hyperlink" Target="mailto:abondio@lavozdelinterior.com.ar" TargetMode="External"/><Relationship Id="rId345" Type="http://schemas.openxmlformats.org/officeDocument/2006/relationships/hyperlink" Target="https://www.linkedin.com/in/mar%C3%ADa-eugenia-del-basso-b816605/" TargetMode="External"/><Relationship Id="rId552" Type="http://schemas.openxmlformats.org/officeDocument/2006/relationships/hyperlink" Target="https://www.linkedin.com/in/nicoleggeriherrero/" TargetMode="External"/><Relationship Id="rId191" Type="http://schemas.openxmlformats.org/officeDocument/2006/relationships/hyperlink" Target="mailto:jld@casinosdelrio.com.ar" TargetMode="External"/><Relationship Id="rId205" Type="http://schemas.openxmlformats.org/officeDocument/2006/relationships/hyperlink" Target="https://www.linkedin.com/in/gerardo-g%C3%B3mez-04097b29/?_gl=1*1q6a5ce*_gcl_au*MTM3Nzk3OTQyOC4xNzYwMzc2NTg0*_ga*NjEwNDgwNDEzLjE3NTkyNDAzNTk.*_ga_7C6N0WZ5Q3*czE3NjE3NTk4MjQkbzE1MSRnMSR0MTc2MTc2MDYyMSRqNDQkbDAkaDA" TargetMode="External"/><Relationship Id="rId412" Type="http://schemas.openxmlformats.org/officeDocument/2006/relationships/hyperlink" Target="https://www.linkedin.com/in/damian-erazu-34266319/?_gl=1*98kzl6*_gcl_au*MTM3Nzk3OTQyOC4xNzYwMzc2NTg0*_ga*MjExNDgzNDk1Ni4xNzYyMzY5NzM3*_ga_7C6N0WZ5Q3*czE3NjUyODQxMDckbzIxMSRnMSR0MTc2NTI5MjcyNCRqNjAkbDAkaDA" TargetMode="External"/><Relationship Id="rId289" Type="http://schemas.openxmlformats.org/officeDocument/2006/relationships/hyperlink" Target="https://www.linkedin.com/in/maximiliano-van-messem-28a72423/?_gl=1*s9pohn*_gcl_au*MTM3Nzk3OTQyOC4xNzYwMzc2NTg0*_ga*MjExNDgzNDk1Ni4xNzYyMzY5NzM3*_ga_7C6N0WZ5Q3*czE3NjI3OTQ2MTUkbzE3MyRnMSR0MTc2MjgwMzU4OSRqNjAkbDAkaDA" TargetMode="External"/><Relationship Id="rId496" Type="http://schemas.openxmlformats.org/officeDocument/2006/relationships/hyperlink" Target="https://www.linkedin.com/in/franco-brechbuhl/" TargetMode="External"/><Relationship Id="rId717" Type="http://schemas.openxmlformats.org/officeDocument/2006/relationships/hyperlink" Target="https://www.linkedin.com/in/gabriel-bourdin-7a702576/" TargetMode="External"/><Relationship Id="rId53" Type="http://schemas.openxmlformats.org/officeDocument/2006/relationships/hyperlink" Target="mailto:gabrielstralla@andesmar.com.ar" TargetMode="External"/><Relationship Id="rId149" Type="http://schemas.openxmlformats.org/officeDocument/2006/relationships/hyperlink" Target="https://www.linkedin.com/in/juangimenorossi?lipi=urn%3Ali%3Apage%3Ad_flagship3_profile_view_base_contact_details%3B7ztMGe9jTdakk1f8n%2B0%2FdQ%3D%3D" TargetMode="External"/><Relationship Id="rId356" Type="http://schemas.openxmlformats.org/officeDocument/2006/relationships/hyperlink" Target="https://www.linkedin.com/in/matias-martinez-b3045553/?_gl=1*rar21t*_gcl_au*MTM3Nzk3OTQyOC4xNzYwMzc2NTg0*_ga*MjExNDgzNDk1Ni4xNzYyMzY5NzM3*_ga_7C6N0WZ5Q3*czE3NjQ4Njg3NjckbzIwOCRnMSR0MTc2NDg3MTE2OCRqNTUkbDAkaDA" TargetMode="External"/><Relationship Id="rId563" Type="http://schemas.openxmlformats.org/officeDocument/2006/relationships/hyperlink" Target="https://www.linkedin.com/in/noedolber/" TargetMode="External"/><Relationship Id="rId770" Type="http://schemas.openxmlformats.org/officeDocument/2006/relationships/hyperlink" Target="mailto:pmichel@cooptortu.com.ar" TargetMode="External"/><Relationship Id="rId216" Type="http://schemas.openxmlformats.org/officeDocument/2006/relationships/hyperlink" Target="https://www.linkedin.com/in/mar%c3%ada-lorena-quiroga-3b2660207/" TargetMode="External"/><Relationship Id="rId423" Type="http://schemas.openxmlformats.org/officeDocument/2006/relationships/hyperlink" Target="mailto:soporte@montironi.com" TargetMode="External"/><Relationship Id="rId630" Type="http://schemas.openxmlformats.org/officeDocument/2006/relationships/hyperlink" Target="https://www.linkedin.com/in/lucia-saud-521b691b7/" TargetMode="External"/><Relationship Id="rId728" Type="http://schemas.openxmlformats.org/officeDocument/2006/relationships/hyperlink" Target="https://www.linkedin.com/in/martin-arancibia-14b84665/" TargetMode="External"/><Relationship Id="rId64" Type="http://schemas.openxmlformats.org/officeDocument/2006/relationships/hyperlink" Target="mailto:cmartin@ciudaddemendoza.gov.ar" TargetMode="External"/><Relationship Id="rId367" Type="http://schemas.openxmlformats.org/officeDocument/2006/relationships/hyperlink" Target="https://www.linkedin.com/in/montenegrojorge/" TargetMode="External"/><Relationship Id="rId574" Type="http://schemas.openxmlformats.org/officeDocument/2006/relationships/hyperlink" Target="mailto:scosta@justiciasantafe.gov.ar" TargetMode="External"/><Relationship Id="rId227" Type="http://schemas.openxmlformats.org/officeDocument/2006/relationships/hyperlink" Target="mailto:evelin.antonio@novaenergy.ar" TargetMode="External"/><Relationship Id="rId781" Type="http://schemas.openxmlformats.org/officeDocument/2006/relationships/hyperlink" Target="https://www.linkedin.com/in/matias-luchini-9bb5664a/" TargetMode="External"/><Relationship Id="rId434" Type="http://schemas.openxmlformats.org/officeDocument/2006/relationships/hyperlink" Target="https://www.linkedin.com/in/ACoAAADmDUgBXJ3qmRIYir-saM_sjsFsgMiBZk8?lipi=urn%3Ali%3Apage%3Ad_flagship3_messaging_conversation_detail%3Bje4Sum3OT%2FOSk2YivuyLLA%3D%3D" TargetMode="External"/><Relationship Id="rId641" Type="http://schemas.openxmlformats.org/officeDocument/2006/relationships/hyperlink" Target="https://www.linkedin.com/in/david-tapia-bordalecu-61432b125/" TargetMode="External"/><Relationship Id="rId739" Type="http://schemas.openxmlformats.org/officeDocument/2006/relationships/hyperlink" Target="https://www.linkedin.com/in/matias-m-651103229/" TargetMode="External"/><Relationship Id="rId280" Type="http://schemas.openxmlformats.org/officeDocument/2006/relationships/hyperlink" Target="https://www.linkedin.com/in/igorpopovitch/?_gl=1*wp6x0g*_gcl_au*MTM3Nzk3OTQyOC4xNzYwMzc2NTg0*_ga*MjExNDgzNDk1Ni4xNzYyMzY5NzM3*_ga_7C6N0WZ5Q3*czE3NjI3OTQ2MTUkbzE3MyRnMSR0MTc2Mjc5NjcwOCRqNjAkbDAkaDA" TargetMode="External"/><Relationship Id="rId501" Type="http://schemas.openxmlformats.org/officeDocument/2006/relationships/hyperlink" Target="https://www.linkedin.com/in/ignacio-siccardi-iot/" TargetMode="External"/><Relationship Id="rId75" Type="http://schemas.openxmlformats.org/officeDocument/2006/relationships/hyperlink" Target="https://www.linkedin.com/in/juan-molina-3a484219?lipi=urn%3Ali%3Apage%3Ad_flagship3_profile_view_base_contact_details%3BFi2BgMr8THiEjvgItcg5Sw%3D%3D" TargetMode="External"/><Relationship Id="rId140" Type="http://schemas.openxmlformats.org/officeDocument/2006/relationships/hyperlink" Target="mailto:renato@lorenzati.com" TargetMode="External"/><Relationship Id="rId378" Type="http://schemas.openxmlformats.org/officeDocument/2006/relationships/hyperlink" Target="https://www.linkedin.com/in/martin-eduardo-palacios-10264a184/?_gl=1*102jon9*_gcl_au*MTM3Nzk3OTQyOC4xNzYwMzc2NTg0*_ga*MjExNDgzNDk1Ni4xNzYyMzY5NzM3*_ga_7C6N0WZ5Q3*czE3NjQ5NDA3MDgkbzIxMCRnMSR0MTc2NDk0NTI5OSRqMzMkbDAkaDA" TargetMode="External"/><Relationship Id="rId585" Type="http://schemas.openxmlformats.org/officeDocument/2006/relationships/hyperlink" Target="https://www.linkedin.com/in/mauricio-sanchez-6baa365a/" TargetMode="External"/><Relationship Id="rId792" Type="http://schemas.openxmlformats.org/officeDocument/2006/relationships/hyperlink" Target="https://www.linkedin.com/in/ricardo-peirano-0362a012b/" TargetMode="External"/><Relationship Id="rId806" Type="http://schemas.openxmlformats.org/officeDocument/2006/relationships/hyperlink" Target="https://www.linkedin.com/in/carlos-ireneo-bogado-5256256/" TargetMode="External"/><Relationship Id="rId6" Type="http://schemas.openxmlformats.org/officeDocument/2006/relationships/hyperlink" Target="https://www.linkedin.com/in/enrique-garro-31760223/" TargetMode="External"/><Relationship Id="rId238" Type="http://schemas.openxmlformats.org/officeDocument/2006/relationships/hyperlink" Target="https://www.linkedin.com/in/federico-ferraris-5ab72312/?_gl=1*10t6loc*_gcl_au*MTM3Nzk3OTQyOC4xNzYwMzc2NTg0*_ga*MjExNDgzNDk1Ni4xNzYyMzY5NzM3*_ga_7C6N0WZ5Q3*czE3NjI0NTUyNDEkbzE2NSRnMSR0MTc2MjQ1NjY5MSRqMTgkbDAkaDA" TargetMode="External"/><Relationship Id="rId445" Type="http://schemas.openxmlformats.org/officeDocument/2006/relationships/hyperlink" Target="https://www.linkedin.com/in/maximiliano-roque/?_gl=1*4x2hrm*_gcl_au*MTM3Nzk3OTQyOC4xNzYwMzc2NTg0*_ga*MjExNDgzNDk1Ni4xNzYyMzY5NzM3*_ga_7C6N0WZ5Q3*czE3NjUyOTk5NjckbzIxMiRnMSR0MTc2NTMwNDQxOSRqNTckbDAkaDA" TargetMode="External"/><Relationship Id="rId652" Type="http://schemas.openxmlformats.org/officeDocument/2006/relationships/hyperlink" Target="https://www.linkedin.com/in/lucas-mendoza-24a54a116/" TargetMode="External"/><Relationship Id="rId291" Type="http://schemas.openxmlformats.org/officeDocument/2006/relationships/hyperlink" Target="https://www.linkedin.com/in/adriano-agustin-ianiero-a9802b31/?_gl=1*s9pohn*_gcl_au*MTM3Nzk3OTQyOC4xNzYwMzc2NTg0*_ga*MjExNDgzNDk1Ni4xNzYyMzY5NzM3*_ga_7C6N0WZ5Q3*czE3NjI3OTQ2MTUkbzE3MyRnMSR0MTc2MjgwMzU4OSRqNjAkbDAkaDA" TargetMode="External"/><Relationship Id="rId305" Type="http://schemas.openxmlformats.org/officeDocument/2006/relationships/hyperlink" Target="https://www.linkedin.com/in/guillermo-cavallo-2178a2a/" TargetMode="External"/><Relationship Id="rId347" Type="http://schemas.openxmlformats.org/officeDocument/2006/relationships/hyperlink" Target="https://www.linkedin.com/in/pablo-tenaglia-24a72b15/" TargetMode="External"/><Relationship Id="rId512" Type="http://schemas.openxmlformats.org/officeDocument/2006/relationships/hyperlink" Target="https://www.linkedin.com/in/jorge-cruce%C3%B1o-b5269982/" TargetMode="External"/><Relationship Id="rId44" Type="http://schemas.openxmlformats.org/officeDocument/2006/relationships/hyperlink" Target="https://www.linkedin.com/in/javier-rodrigo-rabbia-798a606a/" TargetMode="External"/><Relationship Id="rId86" Type="http://schemas.openxmlformats.org/officeDocument/2006/relationships/hyperlink" Target="mailto:erodriguez@edemsa.com" TargetMode="External"/><Relationship Id="rId151" Type="http://schemas.openxmlformats.org/officeDocument/2006/relationships/hyperlink" Target="mailto:braian.parada@grupolorenzo.com.ar" TargetMode="External"/><Relationship Id="rId389" Type="http://schemas.openxmlformats.org/officeDocument/2006/relationships/hyperlink" Target="https://www.linkedin.com/in/andrea-flores-095922114/?_gl=1*1yf1tb1*_gcl_au*MTM3Nzk3OTQyOC4xNzYwMzc2NTg0*_ga*MjExNDgzNDk1Ni4xNzYyMzY5NzM3*_ga_7C6N0WZ5Q3*czE3NjUyODQxMDckbzIxMSRnMSR0MTc2NTI4NTg0MCRqMzUkbDAkaDA" TargetMode="External"/><Relationship Id="rId554" Type="http://schemas.openxmlformats.org/officeDocument/2006/relationships/hyperlink" Target="https://www.linkedin.com/in/gustavo-cloquell-2ab70415/" TargetMode="External"/><Relationship Id="rId596" Type="http://schemas.openxmlformats.org/officeDocument/2006/relationships/hyperlink" Target="https://www.linkedin.com/in/ricardo-piethe-957a6518b/?_gl=1*15nzshj*_gcl_au*MTM3Nzk3OTQyOC4xNzYwMzc2NTg0*_ga*MjExNDgzNDk1Ni4xNzYyMzY5NzM3*_ga_7C6N0WZ5Q3*czE3NjU4MjQzMDkkbzIxOSRnMSR0MTc2NTgyNjI5MSRqMjgkbDAkaDA" TargetMode="External"/><Relationship Id="rId761" Type="http://schemas.openxmlformats.org/officeDocument/2006/relationships/hyperlink" Target="mailto:mgustavojorquera@ceb.coop%20//%20mjorquera@ceb.coop" TargetMode="External"/><Relationship Id="rId817" Type="http://schemas.openxmlformats.org/officeDocument/2006/relationships/hyperlink" Target="mailto:oillanes@bmcc.com.bo" TargetMode="External"/><Relationship Id="rId193" Type="http://schemas.openxmlformats.org/officeDocument/2006/relationships/hyperlink" Target="mailto:jaime.saldivia@farmaciasglobal.com.ar" TargetMode="External"/><Relationship Id="rId207" Type="http://schemas.openxmlformats.org/officeDocument/2006/relationships/hyperlink" Target="https://www.linkedin.com/in/carlosgamin/?_gl=1*1q6a5ce*_gcl_au*MTM3Nzk3OTQyOC4xNzYwMzc2NTg0*_ga*NjEwNDgwNDEzLjE3NTkyNDAzNTk.*_ga_7C6N0WZ5Q3*czE3NjE3NTk4MjQkbzE1MSRnMSR0MTc2MTc2MDYyMSRqNDQkbDAkaDA" TargetMode="External"/><Relationship Id="rId249" Type="http://schemas.openxmlformats.org/officeDocument/2006/relationships/hyperlink" Target="https://www.linkedin.com/in/matias-g-gonzalez1/" TargetMode="External"/><Relationship Id="rId414" Type="http://schemas.openxmlformats.org/officeDocument/2006/relationships/hyperlink" Target="https://www.linkedin.com/in/hector-daniel-nieto-1324b216/?_gl=1*1183rw7*_gcl_au*MTM3Nzk3OTQyOC4xNzYwMzc2NTg0*_ga*MjExNDgzNDk1Ni4xNzYyMzY5NzM3*_ga_7C6N0WZ5Q3*czE3NjUyODQxMDckbzIxMSRnMSR0MTc2NTI5MjYyMiRqNjAkbDAkaDA" TargetMode="External"/><Relationship Id="rId456" Type="http://schemas.openxmlformats.org/officeDocument/2006/relationships/hyperlink" Target="https://www.linkedin.com/in/cdfuentes/" TargetMode="External"/><Relationship Id="rId498" Type="http://schemas.openxmlformats.org/officeDocument/2006/relationships/hyperlink" Target="https://www.linkedin.com/in/marcelo-a-scagnetti-137b6844/" TargetMode="External"/><Relationship Id="rId621" Type="http://schemas.openxmlformats.org/officeDocument/2006/relationships/hyperlink" Target="mailto:nwhittall@giuliani.com.ar" TargetMode="External"/><Relationship Id="rId663" Type="http://schemas.openxmlformats.org/officeDocument/2006/relationships/hyperlink" Target="https://www.linkedin.com/in/dar%C3%ADo-david-s%C3%A1nchez-2921b125/" TargetMode="External"/><Relationship Id="rId13" Type="http://schemas.openxmlformats.org/officeDocument/2006/relationships/hyperlink" Target="mailto:mguevara@mendoza.edu.ar" TargetMode="External"/><Relationship Id="rId109" Type="http://schemas.openxmlformats.org/officeDocument/2006/relationships/hyperlink" Target="mailto:carlos.ferrer@vinesofmendoza.com" TargetMode="External"/><Relationship Id="rId260" Type="http://schemas.openxmlformats.org/officeDocument/2006/relationships/hyperlink" Target="mailto:cluna@gdpsalud.com.ar" TargetMode="External"/><Relationship Id="rId316" Type="http://schemas.openxmlformats.org/officeDocument/2006/relationships/hyperlink" Target="mailto:pguzman@citromax.com.ar" TargetMode="External"/><Relationship Id="rId523" Type="http://schemas.openxmlformats.org/officeDocument/2006/relationships/hyperlink" Target="https://www.linkedin.com/in/romanservetto/" TargetMode="External"/><Relationship Id="rId719" Type="http://schemas.openxmlformats.org/officeDocument/2006/relationships/hyperlink" Target="https://www.linkedin.com/in/facundo-pablo-bessone-b37a86258/" TargetMode="External"/><Relationship Id="rId55" Type="http://schemas.openxmlformats.org/officeDocument/2006/relationships/hyperlink" Target="mailto:diegobecette@andesmar.com.ar" TargetMode="External"/><Relationship Id="rId97" Type="http://schemas.openxmlformats.org/officeDocument/2006/relationships/hyperlink" Target="https://www.linkedin.com/in/carloscagnavallino?_gl=1*1m3yxlp*_gcl_au*MTM3Nzk3OTQyOC4xNzYwMzc2NTg0*_ga*NjEwNDgwNDEzLjE3NTkyNDAzNTk.*_ga_7C6N0WZ5Q3*czE3NjEzMTIwNzAkbzE0MCRnMSR0MTc2MTMxMzY4MiRqNTUkbDAkaDA" TargetMode="External"/><Relationship Id="rId120" Type="http://schemas.openxmlformats.org/officeDocument/2006/relationships/hyperlink" Target="mailto:ffratucello@grupocordeiro.com.ar" TargetMode="External"/><Relationship Id="rId358" Type="http://schemas.openxmlformats.org/officeDocument/2006/relationships/hyperlink" Target="https://www.linkedin.com/in/federico-pablo-maistri-8a347987/?_gl=1*179lk4b*_gcl_au*MTM3Nzk3OTQyOC4xNzYwMzc2NTg0*_ga*MjExNDgzNDk1Ni4xNzYyMzY5NzM3*_ga_7C6N0WZ5Q3*czE3NjQ4Njg3NjckbzIwOCRnMSR0MTc2NDg3MTQ2NCRqNjAkbDAkaDA" TargetMode="External"/><Relationship Id="rId565" Type="http://schemas.openxmlformats.org/officeDocument/2006/relationships/hyperlink" Target="https://www.linkedin.com/in/pablo-garello-37111650/" TargetMode="External"/><Relationship Id="rId730" Type="http://schemas.openxmlformats.org/officeDocument/2006/relationships/hyperlink" Target="https://www.linkedin.com/in/pablog-analyst-it/" TargetMode="External"/><Relationship Id="rId772" Type="http://schemas.openxmlformats.org/officeDocument/2006/relationships/hyperlink" Target="mailto:gustavo.echenique@cemdo.com.ar" TargetMode="External"/><Relationship Id="rId162" Type="http://schemas.openxmlformats.org/officeDocument/2006/relationships/hyperlink" Target="mailto:morsi@sanatorio-americano.com.ar" TargetMode="External"/><Relationship Id="rId218" Type="http://schemas.openxmlformats.org/officeDocument/2006/relationships/hyperlink" Target="mailto:afelissia@manfrey.com.ar" TargetMode="External"/><Relationship Id="rId425" Type="http://schemas.openxmlformats.org/officeDocument/2006/relationships/hyperlink" Target="mailto:dalvarez@montironi.com" TargetMode="External"/><Relationship Id="rId467" Type="http://schemas.openxmlformats.org/officeDocument/2006/relationships/hyperlink" Target="https://www.linkedin.com/in/silvina-jara-mebarak-50716715/?_gl=1*1vh9mjy*_gcl_au*MTM3Nzk3OTQyOC4xNzYwMzc2NTg0*_ga*MjExNDgzNDk1Ni4xNzYyMzY5NzM3*_ga_7C6N0WZ5Q3*czE3NjUzNzExOTgkbzIxMyRnMSR0MTc2NTM3NTkwNCRqNTQkbDAkaDA" TargetMode="External"/><Relationship Id="rId632" Type="http://schemas.openxmlformats.org/officeDocument/2006/relationships/hyperlink" Target="https://www.linkedin.com/in/jos%C3%A9-lino-andrades-valdez-b5557464/" TargetMode="External"/><Relationship Id="rId271" Type="http://schemas.openxmlformats.org/officeDocument/2006/relationships/hyperlink" Target="https://www.linkedin.com/in/gast%C3%B3n-mourelle-88b27773/" TargetMode="External"/><Relationship Id="rId674" Type="http://schemas.openxmlformats.org/officeDocument/2006/relationships/hyperlink" Target="https://www.linkedin.com/in/juan-cruz-ambrogi-1498b7215/" TargetMode="External"/><Relationship Id="rId24" Type="http://schemas.openxmlformats.org/officeDocument/2006/relationships/hyperlink" Target="https://www.linkedin.com/in/ricardo-litwinow/" TargetMode="External"/><Relationship Id="rId66" Type="http://schemas.openxmlformats.org/officeDocument/2006/relationships/hyperlink" Target="mailto:tbalverde@ciudaddemendoza.gov.ar" TargetMode="External"/><Relationship Id="rId131" Type="http://schemas.openxmlformats.org/officeDocument/2006/relationships/hyperlink" Target="https://www.linkedin.com/in/guillermo-jacobo-09418841/" TargetMode="External"/><Relationship Id="rId327" Type="http://schemas.openxmlformats.org/officeDocument/2006/relationships/hyperlink" Target="https://www.linkedin.com/in/mario-zalazar-897b13114/" TargetMode="External"/><Relationship Id="rId369" Type="http://schemas.openxmlformats.org/officeDocument/2006/relationships/hyperlink" Target="https://www.linkedin.com/in/santiagotamagno/?_gl=1*ljg9tg*_gcl_au*MTM3Nzk3OTQyOC4xNzYwMzc2NTg0*_ga*MjExNDgzNDk1Ni4xNzYyMzY5NzM3*_ga_7C6N0WZ5Q3*czE3NjQ4Njg3NjckbzIwOCRnMSR0MTc2NDg3NTk2MCRqNjAkbDAkaDA" TargetMode="External"/><Relationship Id="rId534" Type="http://schemas.openxmlformats.org/officeDocument/2006/relationships/hyperlink" Target="https://www.linkedin.com/in/pablo-fus%C3%A9-1467923a/" TargetMode="External"/><Relationship Id="rId576" Type="http://schemas.openxmlformats.org/officeDocument/2006/relationships/hyperlink" Target="https://www.linkedin.com/in/santiago-berrini-5284bba6/" TargetMode="External"/><Relationship Id="rId741" Type="http://schemas.openxmlformats.org/officeDocument/2006/relationships/hyperlink" Target="mailto:fmissana@colsecor.com.ar" TargetMode="External"/><Relationship Id="rId783" Type="http://schemas.openxmlformats.org/officeDocument/2006/relationships/hyperlink" Target="https://www.linkedin.com/in/hugo-f-1b76b08/" TargetMode="External"/><Relationship Id="rId173" Type="http://schemas.openxmlformats.org/officeDocument/2006/relationships/hyperlink" Target="mailto:sitec@smt.gob.ar%20%20%20joseomartuc10@gmail.com" TargetMode="External"/><Relationship Id="rId229" Type="http://schemas.openxmlformats.org/officeDocument/2006/relationships/hyperlink" Target="mailto:fernando.marchesin@dls-archer.com" TargetMode="External"/><Relationship Id="rId380" Type="http://schemas.openxmlformats.org/officeDocument/2006/relationships/hyperlink" Target="https://www.linkedin.com/in/emanuel-alejandro-bonifacio-14042b9a/?_gl=1*102jon9*_gcl_au*MTM3Nzk3OTQyOC4xNzYwMzc2NTg0*_ga*MjExNDgzNDk1Ni4xNzYyMzY5NzM3*_ga_7C6N0WZ5Q3*czE3NjQ5NDA3MDgkbzIxMCRnMSR0MTc2NDk0NTI5OSRqMzMkbDAkaDA" TargetMode="External"/><Relationship Id="rId436" Type="http://schemas.openxmlformats.org/officeDocument/2006/relationships/hyperlink" Target="https://www.linkedin.com/in/rodolfo-federico-sansalone-a4a11924b/?_gl=1*13mf9tu*_gcl_au*MTM3Nzk3OTQyOC4xNzYwMzc2NTg0*_ga*MjExNDgzNDk1Ni4xNzYyMzY5NzM3*_ga_7C6N0WZ5Q3*czE3NjUyODQxMDckbzIxMSRnMSR0MTc2NTI5NDQ3OCRqNjAkbDAkaDA" TargetMode="External"/><Relationship Id="rId601" Type="http://schemas.openxmlformats.org/officeDocument/2006/relationships/hyperlink" Target="https://www.linkedin.com/in/luciano-benedetti-24626840/?_gl=1*vm0zh3*_gcl_au*MTM3Nzk3OTQyOC4xNzYwMzc2NTg0*_ga*MjExNDgzNDk1Ni4xNzYyMzY5NzM3*_ga_7C6N0WZ5Q3*czE3NjU4MjQzMDkkbzIxOSRnMSR0MTc2NTgyNjI5MSRqMjgkbDAkaDA" TargetMode="External"/><Relationship Id="rId643" Type="http://schemas.openxmlformats.org/officeDocument/2006/relationships/hyperlink" Target="mailto:lucas.crivelli@clinicadecuyo.com.ar" TargetMode="External"/><Relationship Id="rId240" Type="http://schemas.openxmlformats.org/officeDocument/2006/relationships/hyperlink" Target="https://www.linkedin.com/in/pabloverapinto/?_gl=1*10t6loc*_gcl_au*MTM3Nzk3OTQyOC4xNzYwMzc2NTg0*_ga*MjExNDgzNDk1Ni4xNzYyMzY5NzM3*_ga_7C6N0WZ5Q3*czE3NjI0NTUyNDEkbzE2NSRnMSR0MTc2MjQ1NjY5MSRqMTgkbDAkaDA" TargetMode="External"/><Relationship Id="rId478" Type="http://schemas.openxmlformats.org/officeDocument/2006/relationships/hyperlink" Target="https://www.linkedin.com/in/claudio-c-cravero-8336051a/?_gl=1*685fcy*_gcl_au*MTM3Nzk3OTQyOC4xNzYwMzc2NTg0*_ga*MjExNDgzNDk1Ni4xNzYyMzY5NzM3*_ga_7C6N0WZ5Q3*czE3NjUzNzExOTgkbzIxMyRnMSR0MTc2NTM4MTUyNSRqNTIkbDAkaDA" TargetMode="External"/><Relationship Id="rId685" Type="http://schemas.openxmlformats.org/officeDocument/2006/relationships/hyperlink" Target="https://www.linkedin.com/in/felipegunn/" TargetMode="External"/><Relationship Id="rId35" Type="http://schemas.openxmlformats.org/officeDocument/2006/relationships/hyperlink" Target="https://www.linkedin.com/in/ramiro-javier-podettitti-870b8416?_gl=1*1am3qw4*_gcl_au*MTM3Nzk3OTQyOC4xNzYwMzc2NTg0*_ga*NjEwNDgwNDEzLjE3NTkyNDAzNTk.*_ga_7C6N0WZ5Q3*czE3NjExNDY1OTUkbzEzNiRnMSR0MTc2MTE0ODEwMSRqNjAkbDAkaDA" TargetMode="External"/><Relationship Id="rId77" Type="http://schemas.openxmlformats.org/officeDocument/2006/relationships/hyperlink" Target="https://www.linkedin.com/in/jimena-sosa-guayama-a371992b?lipi=urn%3Ali%3Apage%3Ad_flagship3_profile_view_base_contact_details%3BNT7iyK71TlKDH%2BiRDyWk5Q%3D%3D" TargetMode="External"/><Relationship Id="rId100" Type="http://schemas.openxmlformats.org/officeDocument/2006/relationships/hyperlink" Target="https://www.linkedin.com/in/carlos-f-tomatis-1b580a75?_gl=1*atoe4w*_gcl_au*MTM3Nzk3OTQyOC4xNzYwMzc2NTg0*_ga*NjEwNDgwNDEzLjE3NTkyNDAzNTk.*_ga_7C6N0WZ5Q3*czE3NjEzMTIwNzAkbzE0MCRnMSR0MTc2MTMxMzY4MiRqNTUkbDAkaDA" TargetMode="External"/><Relationship Id="rId282" Type="http://schemas.openxmlformats.org/officeDocument/2006/relationships/hyperlink" Target="mailto:gustavo_seguin@casinomagic.com.ar" TargetMode="External"/><Relationship Id="rId338" Type="http://schemas.openxmlformats.org/officeDocument/2006/relationships/hyperlink" Target="https://www.linkedin.com/in/juan-cruz-m-36b1562b/" TargetMode="External"/><Relationship Id="rId503" Type="http://schemas.openxmlformats.org/officeDocument/2006/relationships/hyperlink" Target="https://www.linkedin.com/in/ingeniero-en-sistemas/" TargetMode="External"/><Relationship Id="rId545" Type="http://schemas.openxmlformats.org/officeDocument/2006/relationships/hyperlink" Target="mailto:alexis.colina@renova.com.ar" TargetMode="External"/><Relationship Id="rId587" Type="http://schemas.openxmlformats.org/officeDocument/2006/relationships/hyperlink" Target="https://www.linkedin.com/in/mauricio-sanchez-6baa365a/" TargetMode="External"/><Relationship Id="rId710" Type="http://schemas.openxmlformats.org/officeDocument/2006/relationships/hyperlink" Target="https://www.linkedin.com/in/alejandro-araoz-28742b16b/" TargetMode="External"/><Relationship Id="rId752" Type="http://schemas.openxmlformats.org/officeDocument/2006/relationships/hyperlink" Target="https://www.linkedin.com/in/miranda-navarro-096423250/" TargetMode="External"/><Relationship Id="rId808" Type="http://schemas.openxmlformats.org/officeDocument/2006/relationships/hyperlink" Target="https://www.linkedin.com/in/pablo-martinez-6530b46b/" TargetMode="External"/><Relationship Id="rId8" Type="http://schemas.openxmlformats.org/officeDocument/2006/relationships/hyperlink" Target="https://www.linkedin.com/in/david-lanzavechia-a09687212/" TargetMode="External"/><Relationship Id="rId142" Type="http://schemas.openxmlformats.org/officeDocument/2006/relationships/hyperlink" Target="mailto:subg_financiera@sempre.isslp.gov.ar" TargetMode="External"/><Relationship Id="rId184" Type="http://schemas.openxmlformats.org/officeDocument/2006/relationships/hyperlink" Target="https://www.linkedin.com/in/maximiliano-ponce?lipi=urn%3Ali%3Apage%3Ad_flagship3_profile_view_base_contact_details%3BbsOxHXkyTDmGbNnBSIJzLQ%3D%3D" TargetMode="External"/><Relationship Id="rId391" Type="http://schemas.openxmlformats.org/officeDocument/2006/relationships/hyperlink" Target="https://www.linkedin.com/in/hugo-colombatto/?_gl=1*1u39kr9*_gcl_au*MTM3Nzk3OTQyOC4xNzYwMzc2NTg0*_ga*MjExNDgzNDk1Ni4xNzYyMzY5NzM3*_ga_7C6N0WZ5Q3*czE3NjUyODQxMDckbzIxMSRnMSR0MTc2NTI4NjA2NCRqNTUkbDAkaDA" TargetMode="External"/><Relationship Id="rId405" Type="http://schemas.openxmlformats.org/officeDocument/2006/relationships/hyperlink" Target="https://www.linkedin.com/in/diego-sebastian-peralta/" TargetMode="External"/><Relationship Id="rId447" Type="http://schemas.openxmlformats.org/officeDocument/2006/relationships/hyperlink" Target="https://www.linkedin.com/in/jorgelina-toha-546079245/?_gl=1*4x2hrm*_gcl_au*MTM3Nzk3OTQyOC4xNzYwMzc2NTg0*_ga*MjExNDgzNDk1Ni4xNzYyMzY5NzM3*_ga_7C6N0WZ5Q3*czE3NjUyOTk5NjckbzIxMiRnMSR0MTc2NTMwNDQxOSRqNTckbDAkaDA" TargetMode="External"/><Relationship Id="rId612" Type="http://schemas.openxmlformats.org/officeDocument/2006/relationships/hyperlink" Target="https://www.linkedin.com/in/tom%C3%A1s-g%C3%B3mez-naar-01090266/?_gl=1*1rk8ocw*_gcl_au*MTM3Nzk3OTQyOC4xNzYwMzc2NTg0*_ga*MjExNDgzNDk1Ni4xNzYyMzY5NzM3*_ga_7C6N0WZ5Q3*czE3NjU4MjQzMDkkbzIxOSRnMSR0MTc2NTgyODc5MCRqNjAkbDAkaDA" TargetMode="External"/><Relationship Id="rId794" Type="http://schemas.openxmlformats.org/officeDocument/2006/relationships/hyperlink" Target="https://www.linkedin.com/in/guido-ventureira-671b0636/" TargetMode="External"/><Relationship Id="rId251" Type="http://schemas.openxmlformats.org/officeDocument/2006/relationships/hyperlink" Target="https://www.linkedin.com/in/hernan-boffa/" TargetMode="External"/><Relationship Id="rId489" Type="http://schemas.openxmlformats.org/officeDocument/2006/relationships/hyperlink" Target="https://www.linkedin.com/in/juan-carlos-salva-b65bb5b8/" TargetMode="External"/><Relationship Id="rId654" Type="http://schemas.openxmlformats.org/officeDocument/2006/relationships/hyperlink" Target="https://www.linkedin.com/in/lionel-alejandro-perotti-09a18752/" TargetMode="External"/><Relationship Id="rId696" Type="http://schemas.openxmlformats.org/officeDocument/2006/relationships/hyperlink" Target="https://www.linkedin.com/in/pablo-cosentino-24ba0126/" TargetMode="External"/><Relationship Id="rId46" Type="http://schemas.openxmlformats.org/officeDocument/2006/relationships/hyperlink" Target="https://www.linkedin.com/in/gabriel-testagrossa-378030114?_gl=1*1csjw62*_gcl_au*MTM3Nzk3OTQyOC4xNzYwMzc2NTg0*_ga*NjEwNDgwNDEzLjE3NTkyNDAzNTk.*_ga_7C6N0WZ5Q3*czE3NjExNTQ5MjYkbzEzNyRnMSR0MTc2MTE1NjIzOCRqNjAkbDAkaDA" TargetMode="External"/><Relationship Id="rId293" Type="http://schemas.openxmlformats.org/officeDocument/2006/relationships/hyperlink" Target="mailto:avicentini@silmag.com.ar" TargetMode="External"/><Relationship Id="rId307" Type="http://schemas.openxmlformats.org/officeDocument/2006/relationships/hyperlink" Target="https://www.linkedin.com/in/dar%C3%ADo-frossasco-27191998/?_gl=1*ohp7tv*_gcl_au*MTM3Nzk3OTQyOC4xNzYwMzc2NTg0*_ga*MjExNDgzNDk1Ni4xNzYyMzY5NzM3*_ga_7C6N0WZ5Q3*czE3NjI5NTE3NTkkbzE3NyRnMSR0MTc2Mjk1NzIyMSRqNTckbDAkaDA" TargetMode="External"/><Relationship Id="rId349" Type="http://schemas.openxmlformats.org/officeDocument/2006/relationships/hyperlink" Target="https://www.linkedin.com/in/gustavo-pedro-b8793920b/" TargetMode="External"/><Relationship Id="rId514" Type="http://schemas.openxmlformats.org/officeDocument/2006/relationships/hyperlink" Target="https://www.linkedin.com/in/alejo-salva-9b70532b8/" TargetMode="External"/><Relationship Id="rId556" Type="http://schemas.openxmlformats.org/officeDocument/2006/relationships/hyperlink" Target="mailto:ignacio.falbo@donweb.com" TargetMode="External"/><Relationship Id="rId721" Type="http://schemas.openxmlformats.org/officeDocument/2006/relationships/hyperlink" Target="mailto:jperez@distrocuyo.com" TargetMode="External"/><Relationship Id="rId763" Type="http://schemas.openxmlformats.org/officeDocument/2006/relationships/hyperlink" Target="mailto:obringas@coprotab.com" TargetMode="External"/><Relationship Id="rId88" Type="http://schemas.openxmlformats.org/officeDocument/2006/relationships/hyperlink" Target="mailto:fbonis@grupomontes.com.ar" TargetMode="External"/><Relationship Id="rId111" Type="http://schemas.openxmlformats.org/officeDocument/2006/relationships/hyperlink" Target="mailto:leandro.villavicencio@vinesofmendoza.com" TargetMode="External"/><Relationship Id="rId153" Type="http://schemas.openxmlformats.org/officeDocument/2006/relationships/hyperlink" Target="https://www.linkedin.com/in/sebasti%C3%A1n-nicol%C3%A1s-moi-604153a1/" TargetMode="External"/><Relationship Id="rId195" Type="http://schemas.openxmlformats.org/officeDocument/2006/relationships/hyperlink" Target="https://www.linkedin.com/in/jorge-alejandro-alvarez-ba543348/?_gl=1*6ssh14*_gcl_au*MTM3Nzk3OTQyOC4xNzYwMzc2NTg0*_ga*NjEwNDgwNDEzLjE3NTkyNDAzNTk.*_ga_7C6N0WZ5Q3*czE3NjE3NTAyODAkbzE1MCRnMSR0MTc2MTc1MTA5NSRqMzckbDAkaDA" TargetMode="External"/><Relationship Id="rId209" Type="http://schemas.openxmlformats.org/officeDocument/2006/relationships/hyperlink" Target="mailto:gmartos@coprotab.com" TargetMode="External"/><Relationship Id="rId360" Type="http://schemas.openxmlformats.org/officeDocument/2006/relationships/hyperlink" Target="https://www.linkedin.com/in/osobrero/?_gl=1*15pfzca*_gcl_au*MTM3Nzk3OTQyOC4xNzYwMzc2NTg0*_ga*MjExNDgzNDk1Ni4xNzYyMzY5NzM3*_ga_7C6N0WZ5Q3*czE3NjQ4Njg3NjckbzIwOCRnMSR0MTc2NDg3MTQ2NCRqNjAkbDAkaDA" TargetMode="External"/><Relationship Id="rId416" Type="http://schemas.openxmlformats.org/officeDocument/2006/relationships/hyperlink" Target="https://www.linkedin.com/in/l-segovia/" TargetMode="External"/><Relationship Id="rId598" Type="http://schemas.openxmlformats.org/officeDocument/2006/relationships/hyperlink" Target="https://www.linkedin.com/in/nestor-grandille-82218718/?_gl=1*15nzshj*_gcl_au*MTM3Nzk3OTQyOC4xNzYwMzc2NTg0*_ga*MjExNDgzNDk1Ni4xNzYyMzY5NzM3*_ga_7C6N0WZ5Q3*czE3NjU4MjQzMDkkbzIxOSRnMSR0MTc2NTgyNjI5MSRqMjgkbDAkaDA" TargetMode="External"/><Relationship Id="rId220" Type="http://schemas.openxmlformats.org/officeDocument/2006/relationships/hyperlink" Target="https://www.linkedin.com/in/ramiro-avila-59910a2a8/?_gl=1*1xd5pnx*_gcl_au*MTM3Nzk3OTQyOC4xNzYwMzc2NTg0*_ga*MjExNDgzNDk1Ni4xNzYyMzY5NzM3*_ga_7C6N0WZ5Q3*czE3NjIzNzI1NTYkbzE2MiRnMSR0MTc2MjM3NDQ2NCRqNTckbDAkaDA" TargetMode="External"/><Relationship Id="rId458" Type="http://schemas.openxmlformats.org/officeDocument/2006/relationships/hyperlink" Target="https://www.linkedin.com/in/damian-berra-48064412b/?_gl=1*x6ysft*_gcl_au*MTM3Nzk3OTQyOC4xNzYwMzc2NTg0*_ga*MjExNDgzNDk1Ni4xNzYyMzY5NzM3*_ga_7C6N0WZ5Q3*czE3NjUyOTk5NjckbzIxMiRnMSR0MTc2NTMwNjQ3NiRqNjAkbDAkaDA" TargetMode="External"/><Relationship Id="rId623" Type="http://schemas.openxmlformats.org/officeDocument/2006/relationships/hyperlink" Target="https://www.linkedin.com/in/ezequiel-trotta/" TargetMode="External"/><Relationship Id="rId665" Type="http://schemas.openxmlformats.org/officeDocument/2006/relationships/hyperlink" Target="https://www.linkedin.com/in/pablo-a-ramonet/" TargetMode="External"/><Relationship Id="rId15" Type="http://schemas.openxmlformats.org/officeDocument/2006/relationships/hyperlink" Target="mailto:lucas@lacostedelosandes.com" TargetMode="External"/><Relationship Id="rId57" Type="http://schemas.openxmlformats.org/officeDocument/2006/relationships/hyperlink" Target="mailto:leandrobarbier@andesmar.com.ar" TargetMode="External"/><Relationship Id="rId262" Type="http://schemas.openxmlformats.org/officeDocument/2006/relationships/hyperlink" Target="https://www.linkedin.com/in/diego-peruzzi/" TargetMode="External"/><Relationship Id="rId318" Type="http://schemas.openxmlformats.org/officeDocument/2006/relationships/hyperlink" Target="https://www.linkedin.com/in/fernando-carrera-14547335/?_gl=1*aqyt4x*_gcl_au*MTM3Nzk3OTQyOC4xNzYwMzc2NTg0*_ga*MjExNDgzNDk1Ni4xNzYyMzY5NzM3*_ga_7C6N0WZ5Q3*czE3NjI5NjcwMTEkbzE3OSRnMSR0MTc2Mjk3MjQ0MCRqNDQkbDAkaDA" TargetMode="External"/><Relationship Id="rId525" Type="http://schemas.openxmlformats.org/officeDocument/2006/relationships/hyperlink" Target="https://www.linkedin.com/in/jorge-luis-mendieta-carranza-53452760/" TargetMode="External"/><Relationship Id="rId567" Type="http://schemas.openxmlformats.org/officeDocument/2006/relationships/hyperlink" Target="https://www.linkedin.com/in/alejandro-l%C3%B3pez-474185169/" TargetMode="External"/><Relationship Id="rId732" Type="http://schemas.openxmlformats.org/officeDocument/2006/relationships/hyperlink" Target="https://www.linkedin.com/in/diego-villante-berteel-b53a92145/" TargetMode="External"/><Relationship Id="rId99" Type="http://schemas.openxmlformats.org/officeDocument/2006/relationships/hyperlink" Target="mailto:carlos@ascanellisa.com.ar" TargetMode="External"/><Relationship Id="rId122" Type="http://schemas.openxmlformats.org/officeDocument/2006/relationships/hyperlink" Target="https://www.linkedin.com/in/ernestocordeiro/?_gl=1*ocp15p*_gcl_au*MTM3Nzk3OTQyOC4xNzYwMzc2NTg0*_ga*MjExNDgzNDk1Ni4xNzYyMzY5NzM3*_ga_7C6N0WZ5Q3*czE3NjMzOTM1MTAkbzE4NiRnMSR0MTc2MzM5MzY4NCRqMzMkbDAkaDA" TargetMode="External"/><Relationship Id="rId164" Type="http://schemas.openxmlformats.org/officeDocument/2006/relationships/hyperlink" Target="mailto:fgil@grupoceosa.com" TargetMode="External"/><Relationship Id="rId371" Type="http://schemas.openxmlformats.org/officeDocument/2006/relationships/hyperlink" Target="https://www.linkedin.com/in/daniela-castro-04567139/?_gl=1*ljg9tg*_gcl_au*MTM3Nzk3OTQyOC4xNzYwMzc2NTg0*_ga*MjExNDgzNDk1Ni4xNzYyMzY5NzM3*_ga_7C6N0WZ5Q3*czE3NjQ4Njg3NjckbzIwOCRnMSR0MTc2NDg3NTk2MCRqNjAkbDAkaDA" TargetMode="External"/><Relationship Id="rId774" Type="http://schemas.openxmlformats.org/officeDocument/2006/relationships/hyperlink" Target="https://www.linkedin.com/in/oscar-manzanel-702472111/" TargetMode="External"/><Relationship Id="rId427" Type="http://schemas.openxmlformats.org/officeDocument/2006/relationships/hyperlink" Target="https://www.linkedin.com/in/joaquin-montironi-3204a9389/?_gl=1*3s7ttq*_gcl_au*MTM3Nzk3OTQyOC4xNzYwMzc2NTg0*_ga*MjExNDgzNDk1Ni4xNzYyMzY5NzM3*_ga_7C6N0WZ5Q3*czE3NjUyODQxMDckbzIxMSRnMSR0MTc2NTI5Mzg5MyRqMzkkbDAkaDA" TargetMode="External"/><Relationship Id="rId469" Type="http://schemas.openxmlformats.org/officeDocument/2006/relationships/hyperlink" Target="https://www.linkedin.com/in/carlosambrosini/?_gl=1*1vh9mjy*_gcl_au*MTM3Nzk3OTQyOC4xNzYwMzc2NTg0*_ga*MjExNDgzNDk1Ni4xNzYyMzY5NzM3*_ga_7C6N0WZ5Q3*czE3NjUzNzExOTgkbzIxMyRnMSR0MTc2NTM3NTkwNCRqNTQkbDAkaDA" TargetMode="External"/><Relationship Id="rId634" Type="http://schemas.openxmlformats.org/officeDocument/2006/relationships/hyperlink" Target="https://www.linkedin.com/in/diegopdl/" TargetMode="External"/><Relationship Id="rId676" Type="http://schemas.openxmlformats.org/officeDocument/2006/relationships/hyperlink" Target="https://www.linkedin.com/in/ramiro-pasciullo-624275bb/" TargetMode="External"/><Relationship Id="rId26" Type="http://schemas.openxmlformats.org/officeDocument/2006/relationships/hyperlink" Target="https://www.linkedin.com/in/andr%C3%A9s-pe%C3%B1asco-165b52147/" TargetMode="External"/><Relationship Id="rId231" Type="http://schemas.openxmlformats.org/officeDocument/2006/relationships/hyperlink" Target="https://www.linkedin.com/in/juan-carlos-g%C3%B3ngora-bab3bb13b/?_gl=1*a277e4*_gcl_au*MTM3Nzk3OTQyOC4xNzYwMzc2NTg0*_ga*MjExNDgzNDk1Ni4xNzYyMzY5NzM3*_ga_7C6N0WZ5Q3*czE3NjI0Mzk2ODEkbzE2NCRnMCR0MTc2MjQzOTY4MSRqNjAkbDAkaDA" TargetMode="External"/><Relationship Id="rId273" Type="http://schemas.openxmlformats.org/officeDocument/2006/relationships/hyperlink" Target="mailto:agustin.tuseddu@zaldivar.com" TargetMode="External"/><Relationship Id="rId329" Type="http://schemas.openxmlformats.org/officeDocument/2006/relationships/hyperlink" Target="https://www.linkedin.com/in/mariela-c-638a7b3b/" TargetMode="External"/><Relationship Id="rId480" Type="http://schemas.openxmlformats.org/officeDocument/2006/relationships/hyperlink" Target="https://www.linkedin.com/in/horaciojparga/?_gl=1*685fcy*_gcl_au*MTM3Nzk3OTQyOC4xNzYwMzc2NTg0*_ga*MjExNDgzNDk1Ni4xNzYyMzY5NzM3*_ga_7C6N0WZ5Q3*czE3NjUzNzExOTgkbzIxMyRnMSR0MTc2NTM4MTUyNSRqNTIkbDAkaDA" TargetMode="External"/><Relationship Id="rId536" Type="http://schemas.openxmlformats.org/officeDocument/2006/relationships/hyperlink" Target="https://www.linkedin.com/in/gabriel-mondino/" TargetMode="External"/><Relationship Id="rId701" Type="http://schemas.openxmlformats.org/officeDocument/2006/relationships/hyperlink" Target="https://www.linkedin.com/in/jordan-funes-88475274/" TargetMode="External"/><Relationship Id="rId68" Type="http://schemas.openxmlformats.org/officeDocument/2006/relationships/hyperlink" Target="mailto:jcassino@mendoza.gov.ar" TargetMode="External"/><Relationship Id="rId133" Type="http://schemas.openxmlformats.org/officeDocument/2006/relationships/hyperlink" Target="https://www.linkedin.com/in/ernesto-pischedda-0a735b101/" TargetMode="External"/><Relationship Id="rId175" Type="http://schemas.openxmlformats.org/officeDocument/2006/relationships/hyperlink" Target="https://www.linkedin.com/in/marcelososa?lipi=urn%3Ali%3Apage%3Ad_flagship3_profile_view_base_contact_details%3BkrppYpbJRA6HB1SKJ3YGAA%3D%3D" TargetMode="External"/><Relationship Id="rId340" Type="http://schemas.openxmlformats.org/officeDocument/2006/relationships/hyperlink" Target="https://www.linkedin.com/in/facundo-gareiz-2a095a37/" TargetMode="External"/><Relationship Id="rId578" Type="http://schemas.openxmlformats.org/officeDocument/2006/relationships/hyperlink" Target="https://www.linkedin.com/in/c%C3%A9sar-gallo-33990312/" TargetMode="External"/><Relationship Id="rId743" Type="http://schemas.openxmlformats.org/officeDocument/2006/relationships/hyperlink" Target="mailto:fchiappe@cooperativaobrera.coop" TargetMode="External"/><Relationship Id="rId785" Type="http://schemas.openxmlformats.org/officeDocument/2006/relationships/hyperlink" Target="https://www.linkedin.com/in/gonzalorodriguez1/" TargetMode="External"/><Relationship Id="rId200" Type="http://schemas.openxmlformats.org/officeDocument/2006/relationships/hyperlink" Target="https://www.linkedin.com/in/javier-j-r-montero-0745bb16/?_gl=1*quyjrb*_gcl_au*MTM3Nzk3OTQyOC4xNzYwMzc2NTg0*_ga*NjEwNDgwNDEzLjE3NTkyNDAzNTk.*_ga_7C6N0WZ5Q3*czE3NjE3NTAyODAkbzE1MCRnMSR0MTc2MTc1MjE4MyRqNjAkbDAkaDA" TargetMode="External"/><Relationship Id="rId382" Type="http://schemas.openxmlformats.org/officeDocument/2006/relationships/hyperlink" Target="https://www.linkedin.com/in/romansetien/?_gl=1*102jon9*_gcl_au*MTM3Nzk3OTQyOC4xNzYwMzc2NTg0*_ga*MjExNDgzNDk1Ni4xNzYyMzY5NzM3*_ga_7C6N0WZ5Q3*czE3NjQ5NDA3MDgkbzIxMCRnMSR0MTc2NDk0NTI5OSRqMzMkbDAkaDA" TargetMode="External"/><Relationship Id="rId438" Type="http://schemas.openxmlformats.org/officeDocument/2006/relationships/hyperlink" Target="https://www.linkedin.com/in/daniel-andr%C3%A9s-padilla-792492b5/?_gl=1*t8k00z*_gcl_au*MTM3Nzk3OTQyOC4xNzYwMzc2NTg0*_ga*MjExNDgzNDk1Ni4xNzYyMzY5NzM3*_ga_7C6N0WZ5Q3*czE3NjUyOTk5NjckbzIxMiRnMCR0MTc2NTI5OTk2NyRqNjAkbDAkaDA" TargetMode="External"/><Relationship Id="rId603" Type="http://schemas.openxmlformats.org/officeDocument/2006/relationships/hyperlink" Target="https://www.linkedin.com/in/hernan-lamas-44b26928/?_gl=1*1h5boki*_gcl_au*MTM3Nzk3OTQyOC4xNzYwMzc2NTg0*_ga*MjExNDgzNDk1Ni4xNzYyMzY5NzM3*_ga_7C6N0WZ5Q3*czE3NjU4MjQzMDkkbzIxOSRnMSR0MTc2NTgyNzIyNSRqNTkkbDAkaDA" TargetMode="External"/><Relationship Id="rId645" Type="http://schemas.openxmlformats.org/officeDocument/2006/relationships/hyperlink" Target="https://www.linkedin.com/in/roberto-vaieretti-369555176/" TargetMode="External"/><Relationship Id="rId687" Type="http://schemas.openxmlformats.org/officeDocument/2006/relationships/hyperlink" Target="https://www.linkedin.com/in/mario-guillen-69aa6776/" TargetMode="External"/><Relationship Id="rId810" Type="http://schemas.openxmlformats.org/officeDocument/2006/relationships/hyperlink" Target="https://www.linkedin.com/in/arielestebanruiz/" TargetMode="External"/><Relationship Id="rId242" Type="http://schemas.openxmlformats.org/officeDocument/2006/relationships/hyperlink" Target="https://www.linkedin.com/in/pablo-ignacio-escudero-a2491937/?_gl=1*10t6loc*_gcl_au*MTM3Nzk3OTQyOC4xNzYwMzc2NTg0*_ga*MjExNDgzNDk1Ni4xNzYyMzY5NzM3*_ga_7C6N0WZ5Q3*czE3NjI0NTUyNDEkbzE2NSRnMSR0MTc2MjQ1NjY5MSRqMTgkbDAkaDA" TargetMode="External"/><Relationship Id="rId284" Type="http://schemas.openxmlformats.org/officeDocument/2006/relationships/hyperlink" Target="https://www.linkedin.com/in/roberto-carlos-san-mart%C3%ADn/?_gl=1*1frzdw1*_gcl_au*MTM3Nzk3OTQyOC4xNzYwMzc2NTg0*_ga*MjExNDgzNDk1Ni4xNzYyMzY5NzM3*_ga_7C6N0WZ5Q3*czE3NjM0MDQ5OTQkbzE4OCRnMSR0MTc2MzQwNjU3MyRqMzckbDAkaDA" TargetMode="External"/><Relationship Id="rId491" Type="http://schemas.openxmlformats.org/officeDocument/2006/relationships/hyperlink" Target="https://www.linkedin.com/in/dmacosta77/" TargetMode="External"/><Relationship Id="rId505" Type="http://schemas.openxmlformats.org/officeDocument/2006/relationships/hyperlink" Target="https://www.linkedin.com/in/gustavo-fongi-1472185b/" TargetMode="External"/><Relationship Id="rId712" Type="http://schemas.openxmlformats.org/officeDocument/2006/relationships/hyperlink" Target="https://www.linkedin.com/in/diegofbattistella/?_gl=1*1v6mc7f*_gcl_au*MTAxMjYxODkuMTc2ODMxMTQ3Nw..*_ga*MjExNDgzNDk1Ni4xNzYyMzY5NzM3*_ga_7C6N0WZ5Q3*czE3NjkxMDU2MDAkbzI0MCRnMSR0MTc2OTEwNTkzNyRqMTIkbDAkaDA" TargetMode="External"/><Relationship Id="rId37" Type="http://schemas.openxmlformats.org/officeDocument/2006/relationships/hyperlink" Target="https://www.linkedin.com/in/marcela-falco?_gl=1*1xa7tx6*_gcl_au*MTM3Nzk3OTQyOC4xNzYwMzc2NTg0*_ga*NjEwNDgwNDEzLjE3NTkyNDAzNTk.*_ga_7C6N0WZ5Q3*czE3NjExNDY1OTUkbzEzNiRnMSR0MTc2MTE0ODEwMSRqNjAkbDAkaDA" TargetMode="External"/><Relationship Id="rId79" Type="http://schemas.openxmlformats.org/officeDocument/2006/relationships/hyperlink" Target="https://www.linkedin.com/in/martin-franco-8b2077b2?lipi=urn%3Ali%3Apage%3Ad_flagship3_profile_view_base_contact_details%3BnEZP9HY%2FRYqcUBVQ%2FUfiqg%3D%3D" TargetMode="External"/><Relationship Id="rId102" Type="http://schemas.openxmlformats.org/officeDocument/2006/relationships/hyperlink" Target="https://www.linkedin.com/in/mar%C3%ADa-carolina-laghezza-2aa2b523b?lipi=urn%3Ali%3Apage%3Ad_flagship3_profile_view_base_contact_details%3B2XZVzF6KRVOVudxu3WnG2w%3D%3D" TargetMode="External"/><Relationship Id="rId144" Type="http://schemas.openxmlformats.org/officeDocument/2006/relationships/hyperlink" Target="https://www.linkedin.com/in/esteban-echalecu-0277a922?_gl=1*1pitml6*_gcl_au*MTAxMjYxODkuMTc2ODMxMTQ3Nw..*_ga*MjExNDgzNDk1Ni4xNzYyMzY5NzM3*_ga_7C6N0WZ5Q3*czE3NjkxMTE5NTckbzI0MSRnMSR0MTc2OTExMjE3MCRqMzgkbDAkaDA" TargetMode="External"/><Relationship Id="rId547" Type="http://schemas.openxmlformats.org/officeDocument/2006/relationships/hyperlink" Target="https://www.linkedin.com/in/franco-molinari/" TargetMode="External"/><Relationship Id="rId589" Type="http://schemas.openxmlformats.org/officeDocument/2006/relationships/hyperlink" Target="https://www.linkedin.com/in/isidorocaminos/" TargetMode="External"/><Relationship Id="rId754" Type="http://schemas.openxmlformats.org/officeDocument/2006/relationships/hyperlink" Target="mailto:alejandro.sassone@ar.proveedor-mcd.com" TargetMode="External"/><Relationship Id="rId796" Type="http://schemas.openxmlformats.org/officeDocument/2006/relationships/hyperlink" Target="https://www.linkedin.com/in/matias-m%C3%B3rtola-9b3910147/" TargetMode="External"/><Relationship Id="rId90" Type="http://schemas.openxmlformats.org/officeDocument/2006/relationships/hyperlink" Target="mailto:anselmis@ucongreso.edu.ar" TargetMode="External"/><Relationship Id="rId186" Type="http://schemas.openxmlformats.org/officeDocument/2006/relationships/hyperlink" Target="https://www.linkedin.com/in/agustin-largayoli-0560a41a1?lipi=urn%3Ali%3Apage%3Ad_flagship3_profile_view_base_contact_details%3BZ%2Bc%2BK%2FmuTqWO0zPPqIpb5g%3D%3D" TargetMode="External"/><Relationship Id="rId351" Type="http://schemas.openxmlformats.org/officeDocument/2006/relationships/hyperlink" Target="https://www.linkedin.com/in/pablodoe/" TargetMode="External"/><Relationship Id="rId393" Type="http://schemas.openxmlformats.org/officeDocument/2006/relationships/hyperlink" Target="https://www.linkedin.com/in/alejandro-torreblanca-38837031/?_gl=1*1pobefl*_gcl_au*MTM3Nzk3OTQyOC4xNzYwMzc2NTg0*_ga*MjExNDgzNDk1Ni4xNzYyMzY5NzM3*_ga_7C6N0WZ5Q3*czE3NjUyODQxMDckbzIxMSRnMSR0MTc2NTI4ODY3NiRqNjAkbDAkaDA" TargetMode="External"/><Relationship Id="rId407" Type="http://schemas.openxmlformats.org/officeDocument/2006/relationships/hyperlink" Target="mailto:m.rojas@telvgg.coop" TargetMode="External"/><Relationship Id="rId449" Type="http://schemas.openxmlformats.org/officeDocument/2006/relationships/hyperlink" Target="https://www.linkedin.com/in/emilio-solaga-b863b13b/" TargetMode="External"/><Relationship Id="rId614" Type="http://schemas.openxmlformats.org/officeDocument/2006/relationships/hyperlink" Target="https://www.linkedin.com/in/juan-de-dios-saravia-a342b6137/?_gl=1*1rk8ocw*_gcl_au*MTM3Nzk3OTQyOC4xNzYwMzc2NTg0*_ga*MjExNDgzNDk1Ni4xNzYyMzY5NzM3*_ga_7C6N0WZ5Q3*czE3NjU4MjQzMDkkbzIxOSRnMSR0MTc2NTgyODc5MCRqNjAkbDAkaDA" TargetMode="External"/><Relationship Id="rId656" Type="http://schemas.openxmlformats.org/officeDocument/2006/relationships/hyperlink" Target="https://www.linkedin.com/in/duiliosardi/" TargetMode="External"/><Relationship Id="rId211" Type="http://schemas.openxmlformats.org/officeDocument/2006/relationships/hyperlink" Target="mailto:obringas@coprotab.com" TargetMode="External"/><Relationship Id="rId253" Type="http://schemas.openxmlformats.org/officeDocument/2006/relationships/hyperlink" Target="https://www.linkedin.com/in/gabriela-guzm%C3%A1n-mu%C3%B1oz-09a99970/" TargetMode="External"/><Relationship Id="rId295" Type="http://schemas.openxmlformats.org/officeDocument/2006/relationships/hyperlink" Target="mailto:dmagrini@silmag.com.ar" TargetMode="External"/><Relationship Id="rId309" Type="http://schemas.openxmlformats.org/officeDocument/2006/relationships/hyperlink" Target="https://www.linkedin.com/in/eduardo-daniele-4ba93720/?_gl=1*wg6wjo*_gcl_au*MTM3Nzk3OTQyOC4xNzYwMzc2NTg0*_ga*MjExNDgzNDk1Ni4xNzYyMzY5NzM3*_ga_7C6N0WZ5Q3*czE3NjI5NjAzODQkbzE3OCRnMSR0MTc2Mjk2MDg5OCRqNDgkbDAkaDA" TargetMode="External"/><Relationship Id="rId460" Type="http://schemas.openxmlformats.org/officeDocument/2006/relationships/hyperlink" Target="https://www.linkedin.com/in/pablo-moraglio-822883231/" TargetMode="External"/><Relationship Id="rId516" Type="http://schemas.openxmlformats.org/officeDocument/2006/relationships/hyperlink" Target="https://www.linkedin.com/in/diego-iba%C3%B1ez-809141228/" TargetMode="External"/><Relationship Id="rId698" Type="http://schemas.openxmlformats.org/officeDocument/2006/relationships/hyperlink" Target="https://www.linkedin.com/in/bruno-guidi-533675a8/" TargetMode="External"/><Relationship Id="rId48" Type="http://schemas.openxmlformats.org/officeDocument/2006/relationships/hyperlink" Target="mailto:mariano.santillan@cba.gov.ar" TargetMode="External"/><Relationship Id="rId113" Type="http://schemas.openxmlformats.org/officeDocument/2006/relationships/hyperlink" Target="mailto:francoalvarado@westnet.com.ar" TargetMode="External"/><Relationship Id="rId320" Type="http://schemas.openxmlformats.org/officeDocument/2006/relationships/hyperlink" Target="https://www.linkedin.com/in/emanuel-arias/?_gl=1*enge5m*_gcl_au*MTM3Nzk3OTQyOC4xNzYwMzc2NTg0*_ga*MjExNDgzNDk1Ni4xNzYyMzY5NzM3*_ga_7C6N0WZ5Q3*czE3NjI5NjcwMTEkbzE3OSRnMSR0MTc2Mjk3MjQ0MCRqNDQkbDAkaDA" TargetMode="External"/><Relationship Id="rId558" Type="http://schemas.openxmlformats.org/officeDocument/2006/relationships/hyperlink" Target="mailto:sergio.glories@donweb.com" TargetMode="External"/><Relationship Id="rId723" Type="http://schemas.openxmlformats.org/officeDocument/2006/relationships/hyperlink" Target="mailto:narisio@distrocuyo.com" TargetMode="External"/><Relationship Id="rId765" Type="http://schemas.openxmlformats.org/officeDocument/2006/relationships/hyperlink" Target="https://www.linkedin.com/in/adriana-zelaya-044b28184/" TargetMode="External"/><Relationship Id="rId155" Type="http://schemas.openxmlformats.org/officeDocument/2006/relationships/hyperlink" Target="https://www.linkedin.com/in/marcelo-rodr%C3%ADguez-05b86b29b?lipi=urn%3Ali%3Apage%3Ad_flagship3_profile_view_base_contact_details%3BjA2UV6rRRlKI6Lrat%2FzpPQ%3D%3D" TargetMode="External"/><Relationship Id="rId197" Type="http://schemas.openxmlformats.org/officeDocument/2006/relationships/hyperlink" Target="https://www.linkedin.com/in/roberto-rocha-dur%C3%A1n-72795950/?_gl=1*1vrm3fu*_gcl_au*MTM3Nzk3OTQyOC4xNzYwMzc2NTg0*_ga*NjEwNDgwNDEzLjE3NTkyNDAzNTk.*_ga_7C6N0WZ5Q3*czE3NjE3NTAyODAkbzE1MCRnMSR0MTc2MTc1MjE4MyRqNjAkbDAkaDA" TargetMode="External"/><Relationship Id="rId362" Type="http://schemas.openxmlformats.org/officeDocument/2006/relationships/hyperlink" Target="https://www.linkedin.com/in/felipe-eduardo-rodriguez-a663731b8/?_gl=1*1csu3pt*_gcl_au*MTM3Nzk3OTQyOC4xNzYwMzc2NTg0*_ga*MjExNDgzNDk1Ni4xNzYyMzY5NzM3*_ga_7C6N0WZ5Q3*czE3NjQ4Njg3NjckbzIwOCRnMSR0MTc2NDg3NDU3OSRqMTMkbDAkaDA" TargetMode="External"/><Relationship Id="rId418" Type="http://schemas.openxmlformats.org/officeDocument/2006/relationships/hyperlink" Target="https://www.linkedin.com/in/franco-anglani-029491222/" TargetMode="External"/><Relationship Id="rId625" Type="http://schemas.openxmlformats.org/officeDocument/2006/relationships/hyperlink" Target="https://www.linkedin.com/in/juan-martin-rencoret-b7b35051/?_gl=1*8b4j33*_gcl_au*MTM3Nzk3OTQyOC4xNzYwMzc2NTg0*_ga*MjExNDgzNDk1Ni4xNzYyMzY5NzM3*_ga_7C6N0WZ5Q3*czE3NjU5OTEzNTgkbzIyNiRnMSR0MTc2NTk5MTc0MCRqNiRsMCRoMA" TargetMode="External"/><Relationship Id="rId222" Type="http://schemas.openxmlformats.org/officeDocument/2006/relationships/hyperlink" Target="https://www.linkedin.com/in/eduardo-daniele-4ba93720/?_gl=1*1xd5pnx*_gcl_au*MTM3Nzk3OTQyOC4xNzYwMzc2NTg0*_ga*MjExNDgzNDk1Ni4xNzYyMzY5NzM3*_ga_7C6N0WZ5Q3*czE3NjIzNzI1NTYkbzE2MiRnMSR0MTc2MjM3NDQ2NCRqNTckbDAkaDA" TargetMode="External"/><Relationship Id="rId264" Type="http://schemas.openxmlformats.org/officeDocument/2006/relationships/hyperlink" Target="https://www.linkedin.com/in/david-boggia-6155b824/" TargetMode="External"/><Relationship Id="rId471" Type="http://schemas.openxmlformats.org/officeDocument/2006/relationships/hyperlink" Target="mailto:rbuttiero@grupodinosaurio.com" TargetMode="External"/><Relationship Id="rId667" Type="http://schemas.openxmlformats.org/officeDocument/2006/relationships/hyperlink" Target="https://www.linkedin.com/in/marcelo-dominguez-788a5ba1/" TargetMode="External"/><Relationship Id="rId17" Type="http://schemas.openxmlformats.org/officeDocument/2006/relationships/hyperlink" Target="mailto:carlos.reynoso@grupoamerica.com" TargetMode="External"/><Relationship Id="rId59" Type="http://schemas.openxmlformats.org/officeDocument/2006/relationships/hyperlink" Target="mailto:sebastianmoya@andesmar.com.ar" TargetMode="External"/><Relationship Id="rId124" Type="http://schemas.openxmlformats.org/officeDocument/2006/relationships/hyperlink" Target="mailto:rsuarez@grupocordeiro.com.ar" TargetMode="External"/><Relationship Id="rId527" Type="http://schemas.openxmlformats.org/officeDocument/2006/relationships/hyperlink" Target="mailto:nicolas.padula@diveria.com" TargetMode="External"/><Relationship Id="rId569" Type="http://schemas.openxmlformats.org/officeDocument/2006/relationships/hyperlink" Target="https://www.linkedin.com/in/tom%C3%A1s-prado-94b668276/" TargetMode="External"/><Relationship Id="rId734" Type="http://schemas.openxmlformats.org/officeDocument/2006/relationships/hyperlink" Target="mailto:galbornoz@tarjetasucredito.com.ar" TargetMode="External"/><Relationship Id="rId776" Type="http://schemas.openxmlformats.org/officeDocument/2006/relationships/hyperlink" Target="https://www.linkedin.com/in/tulio-gensana-83299555/" TargetMode="External"/><Relationship Id="rId70" Type="http://schemas.openxmlformats.org/officeDocument/2006/relationships/hyperlink" Target="mailto:sebastian.perea@osep.mendoza.gov.ar" TargetMode="External"/><Relationship Id="rId166" Type="http://schemas.openxmlformats.org/officeDocument/2006/relationships/hyperlink" Target="mailto:fjauregui@grupoceosa.com" TargetMode="External"/><Relationship Id="rId331" Type="http://schemas.openxmlformats.org/officeDocument/2006/relationships/hyperlink" Target="https://www.linkedin.com/in/leandro-rodolfo-gomez-olmos/" TargetMode="External"/><Relationship Id="rId373" Type="http://schemas.openxmlformats.org/officeDocument/2006/relationships/hyperlink" Target="https://www.linkedin.com/in/diego-leiva/?_gl=1*ki8ii5*_gcl_au*MTM3Nzk3OTQyOC4xNzYwMzc2NTg0*_ga*MjExNDgzNDk1Ni4xNzYyMzY5NzM3*_ga_7C6N0WZ5Q3*czE3NjQ5NDA3MDgkbzIxMCRnMSR0MTc2NDk0MzU3MCRqNjAkbDAkaDA" TargetMode="External"/><Relationship Id="rId429" Type="http://schemas.openxmlformats.org/officeDocument/2006/relationships/hyperlink" Target="https://www.linkedin.com/in/stefanodamiani97/" TargetMode="External"/><Relationship Id="rId580" Type="http://schemas.openxmlformats.org/officeDocument/2006/relationships/hyperlink" Target="https://www.linkedin.com/in/valentin-di-domenica-a6186822a/" TargetMode="External"/><Relationship Id="rId636" Type="http://schemas.openxmlformats.org/officeDocument/2006/relationships/hyperlink" Target="mailto:compras@cavaswinelodge.com" TargetMode="External"/><Relationship Id="rId801" Type="http://schemas.openxmlformats.org/officeDocument/2006/relationships/hyperlink" Target="https://www.linkedin.com/in/ricardo-scarano/" TargetMode="External"/><Relationship Id="rId1" Type="http://schemas.openxmlformats.org/officeDocument/2006/relationships/hyperlink" Target="mailto:carina_cozzolino@inv.gov.ar" TargetMode="External"/><Relationship Id="rId233" Type="http://schemas.openxmlformats.org/officeDocument/2006/relationships/hyperlink" Target="https://www.linkedin.com/in/alejandro-cher%C3%B1acov-548981a7/?_gl=1*dz2t5g*_gcl_au*MTM3Nzk3OTQyOC4xNzYwMzc2NTg0*_ga*MjExNDgzNDk1Ni4xNzYyMzY5NzM3*_ga_7C6N0WZ5Q3*czE3NjI0NTUyNDEkbzE2NSRnMSR0MTc2MjQ1NjY5MSRqMTgkbDAkaDA" TargetMode="External"/><Relationship Id="rId440" Type="http://schemas.openxmlformats.org/officeDocument/2006/relationships/hyperlink" Target="https://www.linkedin.com/in/gabriel-campasso-4b332372/?_gl=1*1q4ohd0*_gcl_au*MTM3Nzk3OTQyOC4xNzYwMzc2NTg0*_ga*MjExNDgzNDk1Ni4xNzYyMzY5NzM3*_ga_7C6N0WZ5Q3*czE3NjUyOTk5NjckbzIxMiRnMSR0MTc2NTMwMTIwMSRqMzEkbDAkaDA" TargetMode="External"/><Relationship Id="rId678" Type="http://schemas.openxmlformats.org/officeDocument/2006/relationships/hyperlink" Target="mailto:agustin.kasem@myacomercial.com.ar" TargetMode="External"/><Relationship Id="rId28" Type="http://schemas.openxmlformats.org/officeDocument/2006/relationships/hyperlink" Target="https://www.linkedin.com/in/omar-gutierrez-55685a117?lipi=urn%3Ali%3Apage%3Ad_flagship3_profile_view_base_contact_details%3Bp5duej0QQ42W9EUmgsuVrA%3D%3D" TargetMode="External"/><Relationship Id="rId275" Type="http://schemas.openxmlformats.org/officeDocument/2006/relationships/hyperlink" Target="https://www.linkedin.com/in/esteban-gaboardi-a683842a1/" TargetMode="External"/><Relationship Id="rId300" Type="http://schemas.openxmlformats.org/officeDocument/2006/relationships/hyperlink" Target="https://www.linkedin.com/in/alejandro-gonz%C3%A1lez-frutos-4417398/?_gl=1*jb4k7e*_gcl_au*MTM3Nzk3OTQyOC4xNzYwMzc2NTg0*_ga*MjExNDgzNDk1Ni4xNzYyMzY5NzM3*_ga_7C6N0WZ5Q3*czE3NjI5NTE3NTkkbzE3NyRnMSR0MTc2Mjk1NDEwOSRqNDkkbDAkaDA" TargetMode="External"/><Relationship Id="rId482" Type="http://schemas.openxmlformats.org/officeDocument/2006/relationships/hyperlink" Target="https://www.linkedin.com/in/ramon-quagliata-2324593b/?_gl=1*1o6ul5b*_gcl_au*MTM3Nzk3OTQyOC4xNzYwMzc2NTg0*_ga*MjExNDgzNDk1Ni4xNzYyMzY5NzM3*_ga_7C6N0WZ5Q3*czE3NjUzODY3OTAkbzIxNCRnMSR0MTc2NTM4NzA3MiRqNDIkbDAkaDA" TargetMode="External"/><Relationship Id="rId538" Type="http://schemas.openxmlformats.org/officeDocument/2006/relationships/hyperlink" Target="https://www.linkedin.com/in/riccivalentin/" TargetMode="External"/><Relationship Id="rId703" Type="http://schemas.openxmlformats.org/officeDocument/2006/relationships/hyperlink" Target="https://www.linkedin.com/in/eduardo-roqueta-33110a99/?_gl=1*cqqhfi*_gcl_au*MTAxMjYxODkuMTc2ODMxMTQ3Nw..*_ga*MjExNDgzNDk1Ni4xNzYyMzY5NzM3*_ga_7C6N0WZ5Q3*czE3Njg5MTU4NDEkbzIzNyRnMSR0MTc2ODkxNjI4OSRqNjAkbDAkaDA" TargetMode="External"/><Relationship Id="rId745" Type="http://schemas.openxmlformats.org/officeDocument/2006/relationships/hyperlink" Target="https://www.linkedin.com/in/gabriel-gomiz-81011b16/" TargetMode="External"/><Relationship Id="rId81" Type="http://schemas.openxmlformats.org/officeDocument/2006/relationships/hyperlink" Target="https://www.linkedin.com/in/melocchi/" TargetMode="External"/><Relationship Id="rId135" Type="http://schemas.openxmlformats.org/officeDocument/2006/relationships/hyperlink" Target="mailto:mmoreno@freiberg.com.ar" TargetMode="External"/><Relationship Id="rId177" Type="http://schemas.openxmlformats.org/officeDocument/2006/relationships/hyperlink" Target="mailto:dmontenegro@gypnqn.com.ar" TargetMode="External"/><Relationship Id="rId342" Type="http://schemas.openxmlformats.org/officeDocument/2006/relationships/hyperlink" Target="https://www.linkedin.com/in/franco-correa-6a638621b/" TargetMode="External"/><Relationship Id="rId384" Type="http://schemas.openxmlformats.org/officeDocument/2006/relationships/hyperlink" Target="https://www.linkedin.com/in/lorena-lingua-395853135/" TargetMode="External"/><Relationship Id="rId591" Type="http://schemas.openxmlformats.org/officeDocument/2006/relationships/hyperlink" Target="https://www.linkedin.com/in/axelfrasca/" TargetMode="External"/><Relationship Id="rId605" Type="http://schemas.openxmlformats.org/officeDocument/2006/relationships/hyperlink" Target="mailto:maacosta@mansfieldmin.com" TargetMode="External"/><Relationship Id="rId787" Type="http://schemas.openxmlformats.org/officeDocument/2006/relationships/hyperlink" Target="https://www.linkedin.com/in/guillermocimatti/" TargetMode="External"/><Relationship Id="rId812" Type="http://schemas.openxmlformats.org/officeDocument/2006/relationships/hyperlink" Target="https://www.linkedin.com/in/javier-caruso/" TargetMode="External"/><Relationship Id="rId202" Type="http://schemas.openxmlformats.org/officeDocument/2006/relationships/hyperlink" Target="https://www.linkedin.com/in/natalia-saggina-956b1797/?_gl=1*quyjrb*_gcl_au*MTM3Nzk3OTQyOC4xNzYwMzc2NTg0*_ga*NjEwNDgwNDEzLjE3NTkyNDAzNTk.*_ga_7C6N0WZ5Q3*czE3NjE3NTAyODAkbzE1MCRnMSR0MTc2MTc1MjE4MyRqNjAkbDAkaDA" TargetMode="External"/><Relationship Id="rId244" Type="http://schemas.openxmlformats.org/officeDocument/2006/relationships/hyperlink" Target="mailto:gtorres@redmercosur.com" TargetMode="External"/><Relationship Id="rId647" Type="http://schemas.openxmlformats.org/officeDocument/2006/relationships/hyperlink" Target="https://www.linkedin.com/in/alejandro-piscopo-86052075/" TargetMode="External"/><Relationship Id="rId689" Type="http://schemas.openxmlformats.org/officeDocument/2006/relationships/hyperlink" Target="mailto:mparadiso@karatex.com.ar" TargetMode="External"/><Relationship Id="rId39" Type="http://schemas.openxmlformats.org/officeDocument/2006/relationships/hyperlink" Target="mailto:sdona@epec.com.ar" TargetMode="External"/><Relationship Id="rId286" Type="http://schemas.openxmlformats.org/officeDocument/2006/relationships/hyperlink" Target="mailto:nestor.vicente@hyatt.com" TargetMode="External"/><Relationship Id="rId451" Type="http://schemas.openxmlformats.org/officeDocument/2006/relationships/hyperlink" Target="mailto:ptoledo@federada.com" TargetMode="External"/><Relationship Id="rId493" Type="http://schemas.openxmlformats.org/officeDocument/2006/relationships/hyperlink" Target="mailto:daniel.prez@gaviglio.com" TargetMode="External"/><Relationship Id="rId507" Type="http://schemas.openxmlformats.org/officeDocument/2006/relationships/hyperlink" Target="https://www.linkedin.com/in/alejandro-sch%C3%BCrrer-912860260/" TargetMode="External"/><Relationship Id="rId549" Type="http://schemas.openxmlformats.org/officeDocument/2006/relationships/hyperlink" Target="https://www.linkedin.com/in/m%C3%B3nica-galaretto-76832325a/" TargetMode="External"/><Relationship Id="rId714" Type="http://schemas.openxmlformats.org/officeDocument/2006/relationships/hyperlink" Target="https://www.linkedin.com/in/carlos-cianci/" TargetMode="External"/><Relationship Id="rId756" Type="http://schemas.openxmlformats.org/officeDocument/2006/relationships/hyperlink" Target="https://www.linkedin.com/in/juan-pablo-kubar-b2b5281a/" TargetMode="External"/><Relationship Id="rId50" Type="http://schemas.openxmlformats.org/officeDocument/2006/relationships/hyperlink" Target="mailto:gustavo.elzegbe@tecsa-srl.com.ar" TargetMode="External"/><Relationship Id="rId104" Type="http://schemas.openxmlformats.org/officeDocument/2006/relationships/hyperlink" Target="https://www.linkedin.com/in/angel-pitton-08987a116?lipi=urn%3Ali%3Apage%3Ad_flagship3_profile_view_base_contact_details%3BsqKpEdt9Qn66Ipa192C8Lw%3D%3D" TargetMode="External"/><Relationship Id="rId146" Type="http://schemas.openxmlformats.org/officeDocument/2006/relationships/hyperlink" Target="https://www.linkedin.com/in/rgonzalezmoron?lipi=urn%3Ali%3Apage%3Ad_flagship3_profile_view_base_contact_details%3B6Cl4NcXmTSaF6N1sCi164Q%3D%3D" TargetMode="External"/><Relationship Id="rId188" Type="http://schemas.openxmlformats.org/officeDocument/2006/relationships/hyperlink" Target="https://www.linkedin.com/in/cristian-arriagada-1492b8a8/?_gl=1*19t1xmu*_gcl_au*MTM3Nzk3OTQyOC4xNzYwMzc2NTg0*_ga*NjEwNDgwNDEzLjE3NTkyNDAzNTk.*_ga_7C6N0WZ5Q3*czE3NjE3NDI4OTgkbzE0OSRnMSR0MTc2MTc0Nzc2OSRqNiRsMCRoMA" TargetMode="External"/><Relationship Id="rId311" Type="http://schemas.openxmlformats.org/officeDocument/2006/relationships/hyperlink" Target="https://www.linkedin.com/in/emilse-eroles-97992622/?_gl=1*xnmk1h*_gcl_au*MTM3Nzk3OTQyOC4xNzYwMzc2NTg0*_ga*MjExNDgzNDk1Ni4xNzYyMzY5NzM3*_ga_7C6N0WZ5Q3*czE3NjI5NjAzODQkbzE3OCRnMSR0MTc2Mjk2MDg5OCRqNDgkbDAkaDA" TargetMode="External"/><Relationship Id="rId353" Type="http://schemas.openxmlformats.org/officeDocument/2006/relationships/hyperlink" Target="mailto:fernando.peleh@tecpetrol.com" TargetMode="External"/><Relationship Id="rId395" Type="http://schemas.openxmlformats.org/officeDocument/2006/relationships/hyperlink" Target="https://www.linkedin.com/in/santiago-scally-461a82/?_gl=1*13r7awx*_gcl_au*MTM3Nzk3OTQyOC4xNzYwMzc2NTg0*_ga*MjExNDgzNDk1Ni4xNzYyMzY5NzM3*_ga_7C6N0WZ5Q3*czE3NjUyODQxMDckbzIxMSRnMSR0MTc2NTI4OTQzNSRqMjckbDAkaDA" TargetMode="External"/><Relationship Id="rId409" Type="http://schemas.openxmlformats.org/officeDocument/2006/relationships/hyperlink" Target="https://www.linkedin.com/in/walter-salanitro-5bb497174/" TargetMode="External"/><Relationship Id="rId560" Type="http://schemas.openxmlformats.org/officeDocument/2006/relationships/hyperlink" Target="https://www.linkedin.com/in/luciano-cinalli-fiordelmondo/" TargetMode="External"/><Relationship Id="rId798" Type="http://schemas.openxmlformats.org/officeDocument/2006/relationships/hyperlink" Target="mailto:sistemas@lanuevaseguros.com.ar" TargetMode="External"/><Relationship Id="rId92" Type="http://schemas.openxmlformats.org/officeDocument/2006/relationships/hyperlink" Target="mailto:guillenbautistam@ucongreso.edu.ar" TargetMode="External"/><Relationship Id="rId213" Type="http://schemas.openxmlformats.org/officeDocument/2006/relationships/hyperlink" Target="https://www.linkedin.com/in/juan-manuel-gracia-487a5318/" TargetMode="External"/><Relationship Id="rId420" Type="http://schemas.openxmlformats.org/officeDocument/2006/relationships/hyperlink" Target="https://www.linkedin.com/in/andres-tagle-012734162/?_gl=1*11r70yp*_gcl_au*MTM3Nzk3OTQyOC4xNzYwMzc2NTg0*_ga*MjExNDgzNDk1Ni4xNzYyMzY5NzM3*_ga_7C6N0WZ5Q3*czE3NjUyODQxMDckbzIxMSRnMSR0MTc2NTI5MzIyNyRqNDIkbDAkaDA" TargetMode="External"/><Relationship Id="rId616" Type="http://schemas.openxmlformats.org/officeDocument/2006/relationships/hyperlink" Target="https://www.linkedin.com/in/jeronimoreina/?_gl=1*1rk8ocw*_gcl_au*MTM3Nzk3OTQyOC4xNzYwMzc2NTg0*_ga*MjExNDgzNDk1Ni4xNzYyMzY5NzM3*_ga_7C6N0WZ5Q3*czE3NjU4MjQzMDkkbzIxOSRnMSR0MTc2NTgyODc5MCRqNjAkbDAkaDA" TargetMode="External"/><Relationship Id="rId658" Type="http://schemas.openxmlformats.org/officeDocument/2006/relationships/hyperlink" Target="https://www.linkedin.com/in/juan-manuel-fernandez-0478ab31/" TargetMode="External"/><Relationship Id="rId255" Type="http://schemas.openxmlformats.org/officeDocument/2006/relationships/hyperlink" Target="https://www.linkedin.com/in/alejandro-wulfsztat-b09395130/" TargetMode="External"/><Relationship Id="rId297" Type="http://schemas.openxmlformats.org/officeDocument/2006/relationships/hyperlink" Target="mailto:wfrancesconi@silmag.com.ar" TargetMode="External"/><Relationship Id="rId462" Type="http://schemas.openxmlformats.org/officeDocument/2006/relationships/hyperlink" Target="https://www.linkedin.com/in/gustavorosello/" TargetMode="External"/><Relationship Id="rId518" Type="http://schemas.openxmlformats.org/officeDocument/2006/relationships/hyperlink" Target="https://www.linkedin.com/in/gabrielhisamatsu/" TargetMode="External"/><Relationship Id="rId725" Type="http://schemas.openxmlformats.org/officeDocument/2006/relationships/hyperlink" Target="mailto:j.fiad@pharmacenter.com.ar" TargetMode="External"/><Relationship Id="rId115" Type="http://schemas.openxmlformats.org/officeDocument/2006/relationships/hyperlink" Target="mailto:gabrielguerra@westnet.com.ar" TargetMode="External"/><Relationship Id="rId157" Type="http://schemas.openxmlformats.org/officeDocument/2006/relationships/hyperlink" Target="https://www.linkedin.com/in/javier-galisteo-a913606b?lipi=urn%3Ali%3Apage%3Ad_flagship3_profile_view_base_contact_details%3B7ipK78sJTZyAiNPT%2FIcy6Q%3D%3D" TargetMode="External"/><Relationship Id="rId322" Type="http://schemas.openxmlformats.org/officeDocument/2006/relationships/hyperlink" Target="https://www.linkedin.com/in/jos%C3%A9-lariguet-5b779756/?_gl=1*enge5m*_gcl_au*MTM3Nzk3OTQyOC4xNzYwMzc2NTg0*_ga*MjExNDgzNDk1Ni4xNzYyMzY5NzM3*_ga_7C6N0WZ5Q3*czE3NjI5NjcwMTEkbzE3OSRnMSR0MTc2Mjk3MjQ0MCRqNDQkbDAkaDA" TargetMode="External"/><Relationship Id="rId364" Type="http://schemas.openxmlformats.org/officeDocument/2006/relationships/hyperlink" Target="https://www.linkedin.com/in/hugo-gil-54784321/?_gl=1*1csu3pt*_gcl_au*MTM3Nzk3OTQyOC4xNzYwMzc2NTg0*_ga*MjExNDgzNDk1Ni4xNzYyMzY5NzM3*_ga_7C6N0WZ5Q3*czE3NjQ4Njg3NjckbzIwOCRnMSR0MTc2NDg3NDU3OSRqMTMkbDAkaDA" TargetMode="External"/><Relationship Id="rId767" Type="http://schemas.openxmlformats.org/officeDocument/2006/relationships/hyperlink" Target="https://www.linkedin.com/in/juan-pablo-bianucci/" TargetMode="External"/><Relationship Id="rId61" Type="http://schemas.openxmlformats.org/officeDocument/2006/relationships/hyperlink" Target="mailto:fabricio.affar@um.edu.ar" TargetMode="External"/><Relationship Id="rId199" Type="http://schemas.openxmlformats.org/officeDocument/2006/relationships/hyperlink" Target="https://www.linkedin.com/in/fedegadow/?_gl=1*1vrm3fu*_gcl_au*MTM3Nzk3OTQyOC4xNzYwMzc2NTg0*_ga*NjEwNDgwNDEzLjE3NTkyNDAzNTk.*_ga_7C6N0WZ5Q3*czE3NjE3NTAyODAkbzE1MCRnMSR0MTc2MTc1MjE4MyRqNjAkbDAkaDA" TargetMode="External"/><Relationship Id="rId571" Type="http://schemas.openxmlformats.org/officeDocument/2006/relationships/hyperlink" Target="https://www.linkedin.com/in/bruno-mat%C3%ADas-reinoso-949629162/" TargetMode="External"/><Relationship Id="rId627" Type="http://schemas.openxmlformats.org/officeDocument/2006/relationships/hyperlink" Target="https://www.linkedin.com/in/jorge-cruce%C3%B1o-b5269982/" TargetMode="External"/><Relationship Id="rId669" Type="http://schemas.openxmlformats.org/officeDocument/2006/relationships/hyperlink" Target="mailto:juan.jose@uniber.com.ar" TargetMode="External"/><Relationship Id="rId19" Type="http://schemas.openxmlformats.org/officeDocument/2006/relationships/hyperlink" Target="mailto:mazzeo.alejandro@grupoamerica.com.ar" TargetMode="External"/><Relationship Id="rId224" Type="http://schemas.openxmlformats.org/officeDocument/2006/relationships/hyperlink" Target="https://www.linkedin.com/in/fern%C3%A1n-pereyra-77b551146/?_gl=1*1pyay9g*_gcl_au*MTM3Nzk3OTQyOC4xNzYwMzc2NTg0*_ga*MjExNDgzNDk1Ni4xNzYyMzY5NzM3*_ga_7C6N0WZ5Q3*czE3NjI0MzM3MzAkbzE2MyRnMSR0MTc2MjQzNDc2NiRqNTgkbDAkaDA" TargetMode="External"/><Relationship Id="rId266" Type="http://schemas.openxmlformats.org/officeDocument/2006/relationships/hyperlink" Target="https://www.linkedin.com/in/facundo-javier-mendez/" TargetMode="External"/><Relationship Id="rId431" Type="http://schemas.openxmlformats.org/officeDocument/2006/relationships/hyperlink" Target="https://www.linkedin.com/in/lucas-lucero-2069b8306/" TargetMode="External"/><Relationship Id="rId473" Type="http://schemas.openxmlformats.org/officeDocument/2006/relationships/hyperlink" Target="https://www.linkedin.com/in/fcasco/?_gl=1*cubjwk*_gcl_au*MTM3Nzk3OTQyOC4xNzYwMzc2NTg0*_ga*MjExNDgzNDk1Ni4xNzYyMzY5NzM3*_ga_7C6N0WZ5Q3*czE3NjUzNzExOTgkbzIxMyRnMSR0MTc2NTM3NzkxMyRqNjAkbDAkaDA" TargetMode="External"/><Relationship Id="rId529" Type="http://schemas.openxmlformats.org/officeDocument/2006/relationships/hyperlink" Target="https://www.linkedin.com/in/gschlieper/?_gl=1*m4weqx*_gcl_au*NTg4MTU1Mzc0LjE3NjQxODA3Mjg.*_ga*NzM0MDM5NTAwLjE3NjQxODA3Mjk.*_ga_7C6N0WZ5Q3*czE3NjU1NDk1NTYkbzMyJGcxJHQxNzY1NTUzMTYwJGo1OCRsMCRoMA" TargetMode="External"/><Relationship Id="rId680" Type="http://schemas.openxmlformats.org/officeDocument/2006/relationships/hyperlink" Target="https://www.linkedin.com/in/pablo-martinez-39b20424/" TargetMode="External"/><Relationship Id="rId736" Type="http://schemas.openxmlformats.org/officeDocument/2006/relationships/hyperlink" Target="mailto:Mario.salica@alif.om.ar" TargetMode="External"/><Relationship Id="rId30" Type="http://schemas.openxmlformats.org/officeDocument/2006/relationships/hyperlink" Target="mailto:maximiliano.phileas@cba.gov.ar" TargetMode="External"/><Relationship Id="rId126" Type="http://schemas.openxmlformats.org/officeDocument/2006/relationships/hyperlink" Target="mailto:info@edma.com.ar" TargetMode="External"/><Relationship Id="rId168" Type="http://schemas.openxmlformats.org/officeDocument/2006/relationships/hyperlink" Target="https://www.linkedin.com/in/julioalvarez75/" TargetMode="External"/><Relationship Id="rId333" Type="http://schemas.openxmlformats.org/officeDocument/2006/relationships/hyperlink" Target="https://www.linkedin.com/in/javierfassetta/" TargetMode="External"/><Relationship Id="rId540" Type="http://schemas.openxmlformats.org/officeDocument/2006/relationships/hyperlink" Target="https://www.linkedin.com/in/ar-daniel-alejandro-mendoza/" TargetMode="External"/><Relationship Id="rId778" Type="http://schemas.openxmlformats.org/officeDocument/2006/relationships/hyperlink" Target="https://www.linkedin.com/in/pablo-fernando-reynoso-76b45723/" TargetMode="External"/><Relationship Id="rId72" Type="http://schemas.openxmlformats.org/officeDocument/2006/relationships/hyperlink" Target="https://www.linkedin.com/in/edgardorandis/" TargetMode="External"/><Relationship Id="rId375" Type="http://schemas.openxmlformats.org/officeDocument/2006/relationships/hyperlink" Target="https://www.linkedin.com/in/valentin-rodriguez99/?_gl=1*8rxca1*_gcl_au*MTM3Nzk3OTQyOC4xNzYwMzc2NTg0*_ga*MjExNDgzNDk1Ni4xNzYyMzY5NzM3*_ga_7C6N0WZ5Q3*czE3NjQ5NDA3MDgkbzIxMCRnMSR0MTc2NDk0NDU1NSRqMTkkbDAkaDA" TargetMode="External"/><Relationship Id="rId582" Type="http://schemas.openxmlformats.org/officeDocument/2006/relationships/hyperlink" Target="https://www.linkedin.com/in/fabio-adrian-olivera/" TargetMode="External"/><Relationship Id="rId638" Type="http://schemas.openxmlformats.org/officeDocument/2006/relationships/hyperlink" Target="mailto:ruben.visaguirre@clinicadecuyo.com.ar" TargetMode="External"/><Relationship Id="rId803" Type="http://schemas.openxmlformats.org/officeDocument/2006/relationships/hyperlink" Target="https://www.linkedin.com/in/sergio-silva-246099123/" TargetMode="External"/><Relationship Id="rId3" Type="http://schemas.openxmlformats.org/officeDocument/2006/relationships/hyperlink" Target="mailto:sleo@inv.gov.ar" TargetMode="External"/><Relationship Id="rId235" Type="http://schemas.openxmlformats.org/officeDocument/2006/relationships/hyperlink" Target="https://www.linkedin.com/in/jose-biondi/?_gl=1*10t6loc*_gcl_au*MTM3Nzk3OTQyOC4xNzYwMzc2NTg0*_ga*MjExNDgzNDk1Ni4xNzYyMzY5NzM3*_ga_7C6N0WZ5Q3*czE3NjI0NTUyNDEkbzE2NSRnMSR0MTc2MjQ1NjY5MSRqMTgkbDAkaDA" TargetMode="External"/><Relationship Id="rId277" Type="http://schemas.openxmlformats.org/officeDocument/2006/relationships/hyperlink" Target="https://www.linkedin.com/in/mariano-zarlenga-287226119/" TargetMode="External"/><Relationship Id="rId400" Type="http://schemas.openxmlformats.org/officeDocument/2006/relationships/hyperlink" Target="https://www.linkedin.com/in/santiago-vitali-6243421b0/" TargetMode="External"/><Relationship Id="rId442" Type="http://schemas.openxmlformats.org/officeDocument/2006/relationships/hyperlink" Target="https://www.linkedin.com/in/fabricortina/?_gl=1*1rexnss*_gcl_au*MTM3Nzk3OTQyOC4xNzYwMzc2NTg0*_ga*MjExNDgzNDk1Ni4xNzYyMzY5NzM3*_ga_7C6N0WZ5Q3*czE3NjUyOTk5NjckbzIxMiRnMSR0MTc2NTMwMjAyNCRqNjAkbDAkaDA" TargetMode="External"/><Relationship Id="rId484" Type="http://schemas.openxmlformats.org/officeDocument/2006/relationships/hyperlink" Target="https://www.linkedin.com/in/axel-neuhaus-3313272/?_gl=1*165qpev*_gcl_au*MTM3Nzk3OTQyOC4xNzYwMzc2NTg0*_ga*MjExNDgzNDk1Ni4xNzYyMzY5NzM3*_ga_7C6N0WZ5Q3*czE3NjUzODY3OTAkbzIxNCRnMSR0MTc2NTM4NzA1NyRqNTckbDAkaDA" TargetMode="External"/><Relationship Id="rId705" Type="http://schemas.openxmlformats.org/officeDocument/2006/relationships/hyperlink" Target="https://www.linkedin.com/in/sergio-schiavoni-7ba87a150/?_gl=1*cqqhfi*_gcl_au*MTAxMjYxODkuMTc2ODMxMTQ3Nw..*_ga*MjExNDgzNDk1Ni4xNzYyMzY5NzM3*_ga_7C6N0WZ5Q3*czE3Njg5MTU4NDEkbzIzNyRnMSR0MTc2ODkxNjI4OSRqNjAkbDAkaDA" TargetMode="External"/><Relationship Id="rId137" Type="http://schemas.openxmlformats.org/officeDocument/2006/relationships/hyperlink" Target="https://www.linkedin.com/in/horacioyanes/" TargetMode="External"/><Relationship Id="rId302" Type="http://schemas.openxmlformats.org/officeDocument/2006/relationships/hyperlink" Target="https://www.linkedin.com/in/nicolas-jesus-tiseira-54262741/?_gl=1*jb4k7e*_gcl_au*MTM3Nzk3OTQyOC4xNzYwMzc2NTg0*_ga*MjExNDgzNDk1Ni4xNzYyMzY5NzM3*_ga_7C6N0WZ5Q3*czE3NjI5NTE3NTkkbzE3NyRnMSR0MTc2Mjk1NDEwOSRqNDkkbDAkaDA" TargetMode="External"/><Relationship Id="rId344" Type="http://schemas.openxmlformats.org/officeDocument/2006/relationships/hyperlink" Target="mailto:mdel@bancocoinag.com" TargetMode="External"/><Relationship Id="rId691" Type="http://schemas.openxmlformats.org/officeDocument/2006/relationships/hyperlink" Target="https://www.linkedin.com/in/diego-teran-ulloa-3a866717/" TargetMode="External"/><Relationship Id="rId747" Type="http://schemas.openxmlformats.org/officeDocument/2006/relationships/hyperlink" Target="https://www.linkedin.com/in/kevin-ariel-sodero-ba8545361/" TargetMode="External"/><Relationship Id="rId789" Type="http://schemas.openxmlformats.org/officeDocument/2006/relationships/hyperlink" Target="https://www.linkedin.com/in/walter-marcelo-baldi-2b576624a/" TargetMode="External"/><Relationship Id="rId41" Type="http://schemas.openxmlformats.org/officeDocument/2006/relationships/hyperlink" Target="mailto:cmaders@epec.com.ar" TargetMode="External"/><Relationship Id="rId83" Type="http://schemas.openxmlformats.org/officeDocument/2006/relationships/hyperlink" Target="https://www.linkedin.com/in/brian-elias-gimenez?lipi=urn%3Ali%3Apage%3Ad_flagship3_profile_view_base_contact_details%3BgSSrN63nQjOqCc9HohMnkQ%3D%3D" TargetMode="External"/><Relationship Id="rId179" Type="http://schemas.openxmlformats.org/officeDocument/2006/relationships/hyperlink" Target="https://www.linkedin.com/in/federico-bonini-9774571b5/" TargetMode="External"/><Relationship Id="rId386" Type="http://schemas.openxmlformats.org/officeDocument/2006/relationships/hyperlink" Target="mailto:lucas.gomez@celulosaargentina.com.ar" TargetMode="External"/><Relationship Id="rId551" Type="http://schemas.openxmlformats.org/officeDocument/2006/relationships/hyperlink" Target="mailto:nleggeri@irt.com.ar" TargetMode="External"/><Relationship Id="rId593" Type="http://schemas.openxmlformats.org/officeDocument/2006/relationships/hyperlink" Target="https://www.linkedin.com/in/octaviocarchano/" TargetMode="External"/><Relationship Id="rId607" Type="http://schemas.openxmlformats.org/officeDocument/2006/relationships/hyperlink" Target="mailto:maacosta@mansfieldmin.com" TargetMode="External"/><Relationship Id="rId649" Type="http://schemas.openxmlformats.org/officeDocument/2006/relationships/hyperlink" Target="https://www.linkedin.com/in/jonathan-maineri-5b0947229/" TargetMode="External"/><Relationship Id="rId814" Type="http://schemas.openxmlformats.org/officeDocument/2006/relationships/hyperlink" Target="https://www.linkedin.com/in/edith-pietanesi-07b8bb260/" TargetMode="External"/><Relationship Id="rId190" Type="http://schemas.openxmlformats.org/officeDocument/2006/relationships/hyperlink" Target="https://www.linkedin.com/in/javier-ferrero-08a31245/" TargetMode="External"/><Relationship Id="rId204" Type="http://schemas.openxmlformats.org/officeDocument/2006/relationships/hyperlink" Target="https://www.linkedin.com/in/jose-perez-salas/?locale=en_US" TargetMode="External"/><Relationship Id="rId246" Type="http://schemas.openxmlformats.org/officeDocument/2006/relationships/hyperlink" Target="mailto:pablo-moreno@eciemergencias.com" TargetMode="External"/><Relationship Id="rId288" Type="http://schemas.openxmlformats.org/officeDocument/2006/relationships/hyperlink" Target="https://www.linkedin.com/in/federico-francisco-mena-08b8b4a4/?_gl=1*s9pohn*_gcl_au*MTM3Nzk3OTQyOC4xNzYwMzc2NTg0*_ga*MjExNDgzNDk1Ni4xNzYyMzY5NzM3*_ga_7C6N0WZ5Q3*czE3NjI3OTQ2MTUkbzE3MyRnMSR0MTc2MjgwMzU4OSRqNjAkbDAkaDA" TargetMode="External"/><Relationship Id="rId411" Type="http://schemas.openxmlformats.org/officeDocument/2006/relationships/hyperlink" Target="mailto:derazu@grupodisal.com.ar" TargetMode="External"/><Relationship Id="rId453" Type="http://schemas.openxmlformats.org/officeDocument/2006/relationships/hyperlink" Target="https://www.linkedin.com/in/esteban-camerlo-785b36b6/" TargetMode="External"/><Relationship Id="rId509" Type="http://schemas.openxmlformats.org/officeDocument/2006/relationships/hyperlink" Target="https://www.linkedin.com/in/damian-mazzaro-1677262b7/" TargetMode="External"/><Relationship Id="rId660" Type="http://schemas.openxmlformats.org/officeDocument/2006/relationships/hyperlink" Target="https://www.linkedin.com/in/manuel-martinetti-125b1724a/?_gl=1*1v2lgec*_gcl_au*NTg4MTU1Mzc0LjE3NjQxODA3Mjg.*_ga*NzM0MDM5NTAwLjE3NjQxODA3Mjk.*_ga_7C6N0WZ5Q3*czE3Njc3MDc5NzkkbzU4JGcxJHQxNzY3NzEzMTQxJGo2MCRsMCRoMA" TargetMode="External"/><Relationship Id="rId106" Type="http://schemas.openxmlformats.org/officeDocument/2006/relationships/hyperlink" Target="https://www.linkedin.com/in/ra%C3%BAl-h%C3%A9ctor-g%C3%B3mez-gasc%C3%B3n-5588714b?lipi=urn%3Ali%3Apage%3Ad_flagship3_profile_view_base_contact_details%3BUQF0zRCNQr6lf2q7VHFpDQ%3D%3D" TargetMode="External"/><Relationship Id="rId313" Type="http://schemas.openxmlformats.org/officeDocument/2006/relationships/hyperlink" Target="https://www.linkedin.com/in/matias-monea/?_gl=1*1yye3zl*_gcl_au*MTM3Nzk3OTQyOC4xNzYwMzc2NTg0*_ga*MjExNDgzNDk1Ni4xNzYyMzY5NzM3*_ga_7C6N0WZ5Q3*czE3NjI5NjcwMTEkbzE3OSRnMSR0MTc2Mjk2OTYzMCRqNTckbDAkaDA" TargetMode="External"/><Relationship Id="rId495" Type="http://schemas.openxmlformats.org/officeDocument/2006/relationships/hyperlink" Target="https://www.linkedin.com/in/hern%C3%A1n-toso-74462bb/" TargetMode="External"/><Relationship Id="rId716" Type="http://schemas.openxmlformats.org/officeDocument/2006/relationships/hyperlink" Target="mailto:mateo.perez@petropack.com" TargetMode="External"/><Relationship Id="rId758" Type="http://schemas.openxmlformats.org/officeDocument/2006/relationships/hyperlink" Target="https://www.linkedin.com/in/pablohoraciofernandez/" TargetMode="External"/><Relationship Id="rId10" Type="http://schemas.openxmlformats.org/officeDocument/2006/relationships/hyperlink" Target="https://www.linkedin.com/in/cristian-montecinos-54b02164?lipi=urn%3Ali%3Apage%3Ad_flagship3_profile_view_base_contact_details%3BjbYKRiQDQR2F%2BVRfK8xAJA%3D%3D" TargetMode="External"/><Relationship Id="rId52" Type="http://schemas.openxmlformats.org/officeDocument/2006/relationships/hyperlink" Target="https://www.linkedin.com/in/andrea-paez-2476478b/" TargetMode="External"/><Relationship Id="rId94" Type="http://schemas.openxmlformats.org/officeDocument/2006/relationships/hyperlink" Target="mailto:mguilhou@umaza.edu.ar" TargetMode="External"/><Relationship Id="rId148" Type="http://schemas.openxmlformats.org/officeDocument/2006/relationships/hyperlink" Target="https://www.linkedin.com/in/gustavo-comeglio-11296317?lipi=urn%3Ali%3Apage%3Ad_flagship3_profile_view_base_contact_details%3BA9bR9ruKSc%2B0b0%2FXx1DHXw%3D%3D" TargetMode="External"/><Relationship Id="rId355" Type="http://schemas.openxmlformats.org/officeDocument/2006/relationships/hyperlink" Target="mailto:matias.martinez@tecpetrol.com" TargetMode="External"/><Relationship Id="rId397" Type="http://schemas.openxmlformats.org/officeDocument/2006/relationships/hyperlink" Target="https://www.linkedin.com/in/carlos-marchisio-13aa9536/?_gl=1*13r7awx*_gcl_au*MTM3Nzk3OTQyOC4xNzYwMzc2NTg0*_ga*MjExNDgzNDk1Ni4xNzYyMzY5NzM3*_ga_7C6N0WZ5Q3*czE3NjUyODQxMDckbzIxMSRnMSR0MTc2NTI4OTQzNSRqMjckbDAkaDA" TargetMode="External"/><Relationship Id="rId520" Type="http://schemas.openxmlformats.org/officeDocument/2006/relationships/hyperlink" Target="mailto:haochar@casinobuenosaires.com.ar" TargetMode="External"/><Relationship Id="rId562" Type="http://schemas.openxmlformats.org/officeDocument/2006/relationships/hyperlink" Target="https://www.linkedin.com/in/diego-ottonelli-12607920/" TargetMode="External"/><Relationship Id="rId618" Type="http://schemas.openxmlformats.org/officeDocument/2006/relationships/hyperlink" Target="https://www.linkedin.com/in/cristian-alejandro-plaza-b434a717b/?_gl=1*jcmf05*_gcl_au*MTM3Nzk3OTQyOC4xNzYwMzc2NTg0*_ga*MjExNDgzNDk1Ni4xNzYyMzY5NzM3*_ga_7C6N0WZ5Q3*czE3NjU4MjQzMDkkbzIxOSRnMSR0MTc2NTgyODg5MCRqMjEkbDAkaDA" TargetMode="External"/><Relationship Id="rId215" Type="http://schemas.openxmlformats.org/officeDocument/2006/relationships/hyperlink" Target="mailto:maria.lorenaquiroga@sercommedia.com" TargetMode="External"/><Relationship Id="rId257" Type="http://schemas.openxmlformats.org/officeDocument/2006/relationships/hyperlink" Target="https://www.linkedin.com/in/claudio-abraham-42504a8a/?_gl=1*1yoq3ap*_gcl_au*MTM3Nzk3OTQyOC4xNzYwMzc2NTg0*_ga*MjExNDgzNDk1Ni4xNzYyMzY5NzM3*_ga_7C6N0WZ5Q3*czE3NjI3ODMxMDckbzE3MSRnMSR0MTc2Mjc4NTYyNiRqMjckbDAkaDA" TargetMode="External"/><Relationship Id="rId422" Type="http://schemas.openxmlformats.org/officeDocument/2006/relationships/hyperlink" Target="https://www.linkedin.com/in/daniel-vargas-05b325115/?_gl=1*3s7ttq*_gcl_au*MTM3Nzk3OTQyOC4xNzYwMzc2NTg0*_ga*MjExNDgzNDk1Ni4xNzYyMzY5NzM3*_ga_7C6N0WZ5Q3*czE3NjUyODQxMDckbzIxMSRnMSR0MTc2NTI5Mzg5MyRqMzkkbDAkaDA" TargetMode="External"/><Relationship Id="rId464" Type="http://schemas.openxmlformats.org/officeDocument/2006/relationships/hyperlink" Target="https://www.linkedin.com/in/maurobornacin/?_gl=1*ozcn6k*_gcl_au*MTM3Nzk3OTQyOC4xNzYwMzc2NTg0*_ga*MjExNDgzNDk1Ni4xNzYyMzY5NzM3*_ga_7C6N0WZ5Q3*czE3NjUzNzExOTgkbzIxMyRnMSR0MTc2NTM3NTkwNCRqNTQkbDAkaDA" TargetMode="External"/><Relationship Id="rId299" Type="http://schemas.openxmlformats.org/officeDocument/2006/relationships/hyperlink" Target="https://www.linkedin.com/in/patriciofresia/?_gl=1*jb4k7e*_gcl_au*MTM3Nzk3OTQyOC4xNzYwMzc2NTg0*_ga*MjExNDgzNDk1Ni4xNzYyMzY5NzM3*_ga_7C6N0WZ5Q3*czE3NjI5NTE3NTkkbzE3NyRnMSR0MTc2Mjk1NDEwOSRqNDkkbDAkaDA" TargetMode="External"/><Relationship Id="rId727" Type="http://schemas.openxmlformats.org/officeDocument/2006/relationships/hyperlink" Target="https://www.linkedin.com/in/jorge-matias-ali-2511765b/" TargetMode="External"/><Relationship Id="rId63" Type="http://schemas.openxmlformats.org/officeDocument/2006/relationships/hyperlink" Target="mailto:german.vazquez@um.edu.ar" TargetMode="External"/><Relationship Id="rId159" Type="http://schemas.openxmlformats.org/officeDocument/2006/relationships/hyperlink" Target="https://www.linkedin.com/in/mario-andreoni-971523140?lipi=urn%3Ali%3Apage%3Ad_flagship3_profile_view_base_contact_details%3BGDYIpMfoTay4X1nRnh9FJQ%3D%3D" TargetMode="External"/><Relationship Id="rId366" Type="http://schemas.openxmlformats.org/officeDocument/2006/relationships/hyperlink" Target="mailto:mbartolomeo@bcr.com.ar" TargetMode="External"/><Relationship Id="rId573" Type="http://schemas.openxmlformats.org/officeDocument/2006/relationships/hyperlink" Target="https://www.linkedin.com/in/enrique-jose-edgardo-marengo-trevisani/" TargetMode="External"/><Relationship Id="rId780" Type="http://schemas.openxmlformats.org/officeDocument/2006/relationships/hyperlink" Target="https://www.linkedin.com/in/leandro-olivera-07893117/" TargetMode="External"/><Relationship Id="rId226" Type="http://schemas.openxmlformats.org/officeDocument/2006/relationships/hyperlink" Target="https://www.linkedin.com/in/nicol%C3%A1s-berrotar%C3%A1n-3010b24b/?_gl=1*1pyay9g*_gcl_au*MTM3Nzk3OTQyOC4xNzYwMzc2NTg0*_ga*MjExNDgzNDk1Ni4xNzYyMzY5NzM3*_ga_7C6N0WZ5Q3*czE3NjI0MzM3MzAkbzE2MyRnMSR0MTc2MjQzNDc2NiRqNTgkbDAkaDA" TargetMode="External"/><Relationship Id="rId433" Type="http://schemas.openxmlformats.org/officeDocument/2006/relationships/hyperlink" Target="mailto:jpmansila@sportline.com.ar" TargetMode="External"/><Relationship Id="rId640" Type="http://schemas.openxmlformats.org/officeDocument/2006/relationships/hyperlink" Target="mailto:david.tapia@clinicadecuyo.com.ar" TargetMode="External"/><Relationship Id="rId738" Type="http://schemas.openxmlformats.org/officeDocument/2006/relationships/hyperlink" Target="https://www.linkedin.com/in/carlos-alberto-tames-1a5598131/" TargetMode="External"/><Relationship Id="rId74" Type="http://schemas.openxmlformats.org/officeDocument/2006/relationships/hyperlink" Target="mailto:jmolina@bodegasalentein.com" TargetMode="External"/><Relationship Id="rId377" Type="http://schemas.openxmlformats.org/officeDocument/2006/relationships/hyperlink" Target="https://www.linkedin.com/in/matias-sanguedolce/?_gl=1*8rxca1*_gcl_au*MTM3Nzk3OTQyOC4xNzYwMzc2NTg0*_ga*MjExNDgzNDk1Ni4xNzYyMzY5NzM3*_ga_7C6N0WZ5Q3*czE3NjQ5NDA3MDgkbzIxMCRnMSR0MTc2NDk0NDU1NSRqMTkkbDAkaDA" TargetMode="External"/><Relationship Id="rId500" Type="http://schemas.openxmlformats.org/officeDocument/2006/relationships/hyperlink" Target="https://www.linkedin.com/in/gustavo-glorioso/" TargetMode="External"/><Relationship Id="rId584" Type="http://schemas.openxmlformats.org/officeDocument/2006/relationships/hyperlink" Target="https://www.linkedin.com/in/carlos-bechi/" TargetMode="External"/><Relationship Id="rId805" Type="http://schemas.openxmlformats.org/officeDocument/2006/relationships/hyperlink" Target="https://www.linkedin.com/in/javier-gonzalez-b1a56714/" TargetMode="External"/><Relationship Id="rId5" Type="http://schemas.openxmlformats.org/officeDocument/2006/relationships/hyperlink" Target="mailto:enrique_garro@inv.gov.ar" TargetMode="External"/><Relationship Id="rId237" Type="http://schemas.openxmlformats.org/officeDocument/2006/relationships/hyperlink" Target="https://www.linkedin.com/in/fernando-sapag-bb041056/?_gl=1*10t6loc*_gcl_au*MTM3Nzk3OTQyOC4xNzYwMzc2NTg0*_ga*MjExNDgzNDk1Ni4xNzYyMzY5NzM3*_ga_7C6N0WZ5Q3*czE3NjI0NTUyNDEkbzE2NSRnMSR0MTc2MjQ1NjY5MSRqMTgkbDAkaDA" TargetMode="External"/><Relationship Id="rId791" Type="http://schemas.openxmlformats.org/officeDocument/2006/relationships/hyperlink" Target="https://www.linkedin.com/in/pauloernestosantillan/" TargetMode="External"/><Relationship Id="rId444" Type="http://schemas.openxmlformats.org/officeDocument/2006/relationships/hyperlink" Target="https://www.linkedin.com/in/mariano-racca/?_gl=1*4x2hrm*_gcl_au*MTM3Nzk3OTQyOC4xNzYwMzc2NTg0*_ga*MjExNDgzNDk1Ni4xNzYyMzY5NzM3*_ga_7C6N0WZ5Q3*czE3NjUyOTk5NjckbzIxMiRnMSR0MTc2NTMwNDQxOSRqNTckbDAkaDA" TargetMode="External"/><Relationship Id="rId651" Type="http://schemas.openxmlformats.org/officeDocument/2006/relationships/hyperlink" Target="mailto:lmendoza@bse.com.ar" TargetMode="External"/><Relationship Id="rId749" Type="http://schemas.openxmlformats.org/officeDocument/2006/relationships/hyperlink" Target="https://www.linkedin.com/in/federico-barria-a6a5b0179/" TargetMode="External"/><Relationship Id="rId290" Type="http://schemas.openxmlformats.org/officeDocument/2006/relationships/hyperlink" Target="https://www.linkedin.com/in/carlos-alberto-rios-ba733a53/?_gl=1*s9pohn*_gcl_au*MTM3Nzk3OTQyOC4xNzYwMzc2NTg0*_ga*MjExNDgzNDk1Ni4xNzYyMzY5NzM3*_ga_7C6N0WZ5Q3*czE3NjI3OTQ2MTUkbzE3MyRnMSR0MTc2MjgwMzU4OSRqNjAkbDAkaDA" TargetMode="External"/><Relationship Id="rId304" Type="http://schemas.openxmlformats.org/officeDocument/2006/relationships/hyperlink" Target="mailto:gcavallo@agd.com.ar" TargetMode="External"/><Relationship Id="rId388" Type="http://schemas.openxmlformats.org/officeDocument/2006/relationships/hyperlink" Target="mailto:gustavo.moretti@celulosaargentina.com.ar" TargetMode="External"/><Relationship Id="rId511" Type="http://schemas.openxmlformats.org/officeDocument/2006/relationships/hyperlink" Target="https://www.linkedin.com/in/franco-m-56103544/" TargetMode="External"/><Relationship Id="rId609" Type="http://schemas.openxmlformats.org/officeDocument/2006/relationships/hyperlink" Target="https://www.linkedin.com/in/angel-mercado-0a7113230/" TargetMode="External"/><Relationship Id="rId85" Type="http://schemas.openxmlformats.org/officeDocument/2006/relationships/hyperlink" Target="https://www.linkedin.com/in/ricardo-carvajal-tomba-51b20b31?lipi=urn%3Ali%3Apage%3Ad_flagship3_profile_view_base_contact_details%3Bb3v5jAgJTcCVuSz8mw8uwQ%3D%3D" TargetMode="External"/><Relationship Id="rId150" Type="http://schemas.openxmlformats.org/officeDocument/2006/relationships/hyperlink" Target="https://www.linkedin.com/in/omar-santamaria-34046952?lipi=urn%3Ali%3Apage%3Ad_flagship3_profile_view_base_contact_details%3BG6Jlw2V9TryQzySxKhVouw%3D%3D" TargetMode="External"/><Relationship Id="rId595" Type="http://schemas.openxmlformats.org/officeDocument/2006/relationships/hyperlink" Target="https://www.linkedin.com/in/luis-alarcon-b42a3b165/" TargetMode="External"/><Relationship Id="rId816" Type="http://schemas.openxmlformats.org/officeDocument/2006/relationships/hyperlink" Target="https://www.linkedin.com/in/gabriela-quintela-71b968150/" TargetMode="External"/><Relationship Id="rId248" Type="http://schemas.openxmlformats.org/officeDocument/2006/relationships/hyperlink" Target="https://www.linkedin.com/in/itoiz-juan/" TargetMode="External"/><Relationship Id="rId455" Type="http://schemas.openxmlformats.org/officeDocument/2006/relationships/hyperlink" Target="https://www.linkedin.com/in/agostinazallocco/" TargetMode="External"/><Relationship Id="rId662" Type="http://schemas.openxmlformats.org/officeDocument/2006/relationships/hyperlink" Target="https://www.linkedin.com/in/luis-marchant-rojas-62763b51/?_gl=1*1v2lgec*_gcl_au*NTg4MTU1Mzc0LjE3NjQxODA3Mjg.*_ga*NzM0MDM5NTAwLjE3NjQxODA3Mjk.*_ga_7C6N0WZ5Q3*czE3Njc3MDc5NzkkbzU4JGcxJHQxNzY3NzEzMTQxJGo2MCRsMCRoMA" TargetMode="External"/><Relationship Id="rId12" Type="http://schemas.openxmlformats.org/officeDocument/2006/relationships/hyperlink" Target="https://www.linkedin.com/in/henri-ortega/" TargetMode="External"/><Relationship Id="rId108" Type="http://schemas.openxmlformats.org/officeDocument/2006/relationships/hyperlink" Target="https://www.linkedin.com/in/manuel-perez-652a8952?lipi=urn%3Ali%3Apage%3Ad_flagship3_profile_view_base_contact_details%3BajKCKc5cTe%2BPRLHo8mAuDg%3D%3D" TargetMode="External"/><Relationship Id="rId315" Type="http://schemas.openxmlformats.org/officeDocument/2006/relationships/hyperlink" Target="https://www.linkedin.com/in/christianhamilton74/?_gl=1*k4846p*_gcl_au*MTM3Nzk3OTQyOC4xNzYwMzc2NTg0*_ga*MjExNDgzNDk1Ni4xNzYyMzY5NzM3*_ga_7C6N0WZ5Q3*czE3NjI5NjcwMTEkbzE3OSRnMSR0MTc2Mjk3MjQ0MCRqNDQkbDAkaDA" TargetMode="External"/><Relationship Id="rId522" Type="http://schemas.openxmlformats.org/officeDocument/2006/relationships/hyperlink" Target="https://www.linkedin.com/in/valeria-rodr%C3%ADguez-474060a8/" TargetMode="External"/><Relationship Id="rId96" Type="http://schemas.openxmlformats.org/officeDocument/2006/relationships/hyperlink" Target="mailto:carlos@ascanellisa.com.ar" TargetMode="External"/><Relationship Id="rId161" Type="http://schemas.openxmlformats.org/officeDocument/2006/relationships/hyperlink" Target="https://www.linkedin.com/in/gonzalo-sarmiento-843b8a21/" TargetMode="External"/><Relationship Id="rId399" Type="http://schemas.openxmlformats.org/officeDocument/2006/relationships/hyperlink" Target="https://www.linkedin.com/in/martin-coria-78001571/" TargetMode="External"/><Relationship Id="rId259" Type="http://schemas.openxmlformats.org/officeDocument/2006/relationships/hyperlink" Target="https://www.linkedin.com/in/lucasgualdoni/?_gl=1*wqj612*_gcl_au*MTM3Nzk3OTQyOC4xNzYwMzc2NTg0*_ga*MjExNDgzNDk1Ni4xNzYyMzY5NzM3*_ga_7C6N0WZ5Q3*czE3NjI3ODMxMDckbzE3MSRnMSR0MTc2Mjc4NTYyNiRqMjckbDAkaDA" TargetMode="External"/><Relationship Id="rId466" Type="http://schemas.openxmlformats.org/officeDocument/2006/relationships/hyperlink" Target="https://www.linkedin.com/in/gabriel-esteban-giannetti-5b2b84180/?_gl=1*ozcn6k*_gcl_au*MTM3Nzk3OTQyOC4xNzYwMzc2NTg0*_ga*MjExNDgzNDk1Ni4xNzYyMzY5NzM3*_ga_7C6N0WZ5Q3*czE3NjUzNzExOTgkbzIxMyRnMSR0MTc2NTM3NTkwNCRqNTQkbDAkaDA" TargetMode="External"/><Relationship Id="rId673" Type="http://schemas.openxmlformats.org/officeDocument/2006/relationships/hyperlink" Target="https://www.linkedin.com/in/gleguizamon-76507768/" TargetMode="External"/><Relationship Id="rId23" Type="http://schemas.openxmlformats.org/officeDocument/2006/relationships/hyperlink" Target="mailto:litwinow.ricardo@grupoamerica.com.ar" TargetMode="External"/><Relationship Id="rId119" Type="http://schemas.openxmlformats.org/officeDocument/2006/relationships/hyperlink" Target="https://www.linkedin.com/in/jorge-batiz-364114a9?lipi=urn%3Ali%3Apage%3Ad_flagship3_profile_view_base_contact_details%3BQE1X4%2Bp1RKup6kBwXwElGw%3D%3D" TargetMode="External"/><Relationship Id="rId326" Type="http://schemas.openxmlformats.org/officeDocument/2006/relationships/hyperlink" Target="https://www.linkedin.com/in/sergiofiorani/?_gl=1*8aw8l5*_gcl_au*MTM3Nzk3OTQyOC4xNzYwMzc2NTg0*_ga*MjExNDgzNDk1Ni4xNzYyMzY5NzM3*_ga_7C6N0WZ5Q3*czE3NjI5NjcwMTEkbzE3OSRnMSR0MTc2Mjk3MzQzOSRqNDckbDAkaDA" TargetMode="External"/><Relationship Id="rId533" Type="http://schemas.openxmlformats.org/officeDocument/2006/relationships/hyperlink" Target="https://www.linkedin.com/in/julian-labriola/" TargetMode="External"/><Relationship Id="rId740" Type="http://schemas.openxmlformats.org/officeDocument/2006/relationships/hyperlink" Target="https://www.linkedin.com/in/matias-toledo-656614221/" TargetMode="External"/><Relationship Id="rId172" Type="http://schemas.openxmlformats.org/officeDocument/2006/relationships/hyperlink" Target="mailto:jorgevaldez@hotmail.com;%20ogsi@smt.gob.ar" TargetMode="External"/><Relationship Id="rId477" Type="http://schemas.openxmlformats.org/officeDocument/2006/relationships/hyperlink" Target="https://www.linkedin.com/in/maria-tosello-95479517/?_gl=1*k0rbvl*_gcl_au*MTM3Nzk3OTQyOC4xNzYwMzc2NTg0*_ga*MjExNDgzNDk1Ni4xNzYyMzY5NzM3*_ga_7C6N0WZ5Q3*czE3NjUzNzExOTgkbzIxMyRnMSR0MTc2NTM3ODEzNyRqMzUkbDAkaDA" TargetMode="External"/><Relationship Id="rId600" Type="http://schemas.openxmlformats.org/officeDocument/2006/relationships/hyperlink" Target="https://www.linkedin.com/in/guillermo-simonutti/?_gl=1*15nzshj*_gcl_au*MTM3Nzk3OTQyOC4xNzYwMzc2NTg0*_ga*MjExNDgzNDk1Ni4xNzYyMzY5NzM3*_ga_7C6N0WZ5Q3*czE3NjU4MjQzMDkkbzIxOSRnMSR0MTc2NTgyNjI5MSRqMjgkbDAkaDA" TargetMode="External"/><Relationship Id="rId684" Type="http://schemas.openxmlformats.org/officeDocument/2006/relationships/hyperlink" Target="https://www.linkedin.com/in/daniel-romero-aa4a32148/" TargetMode="External"/><Relationship Id="rId337" Type="http://schemas.openxmlformats.org/officeDocument/2006/relationships/hyperlink" Target="mailto:juan.cruz@desasa.com.ar" TargetMode="External"/><Relationship Id="rId34" Type="http://schemas.openxmlformats.org/officeDocument/2006/relationships/hyperlink" Target="mailto:ramiro.podetti@cba.gov.ar" TargetMode="External"/><Relationship Id="rId544" Type="http://schemas.openxmlformats.org/officeDocument/2006/relationships/hyperlink" Target="https://www.linkedin.com/in/damian-ocampo-b48ba41b4/" TargetMode="External"/><Relationship Id="rId751" Type="http://schemas.openxmlformats.org/officeDocument/2006/relationships/hyperlink" Target="https://www.linkedin.com/in/adrian-eidelstein-810a5a62/" TargetMode="External"/><Relationship Id="rId183" Type="http://schemas.openxmlformats.org/officeDocument/2006/relationships/hyperlink" Target="https://www.linkedin.com/in/jes%C3%BAs-morales-0b57bb86?lipi=urn%3Ali%3Apage%3Ad_flagship3_profile_view_base_contact_details%3BePeJKjBcSq62a9MvD53GMA%3D%3D" TargetMode="External"/><Relationship Id="rId390" Type="http://schemas.openxmlformats.org/officeDocument/2006/relationships/hyperlink" Target="https://www.linkedin.com/in/jmanco/?_gl=1*14b1l8g*_gcl_au*MTM3Nzk3OTQyOC4xNzYwMzc2NTg0*_ga*MjExNDgzNDk1Ni4xNzYyMzY5NzM3*_ga_7C6N0WZ5Q3*czE3NjUyODQxMDckbzIxMSRnMSR0MTc2NTI4NTgzNCRqNDEkbDAkaDA" TargetMode="External"/><Relationship Id="rId404" Type="http://schemas.openxmlformats.org/officeDocument/2006/relationships/hyperlink" Target="mailto:dperalta@grupogamma.com" TargetMode="External"/><Relationship Id="rId611" Type="http://schemas.openxmlformats.org/officeDocument/2006/relationships/hyperlink" Target="https://www.linkedin.com/in/cintia-ataide/?_gl=1*1rk8ocw*_gcl_au*MTM3Nzk3OTQyOC4xNzYwMzc2NTg0*_ga*MjExNDgzNDk1Ni4xNzYyMzY5NzM3*_ga_7C6N0WZ5Q3*czE3NjU4MjQzMDkkbzIxOSRnMSR0MTc2NTgyODc5MCRqNjAkbDAkaDA" TargetMode="External"/><Relationship Id="rId250" Type="http://schemas.openxmlformats.org/officeDocument/2006/relationships/hyperlink" Target="https://www.linkedin.com/in/maria-virginia-vera/" TargetMode="External"/><Relationship Id="rId488" Type="http://schemas.openxmlformats.org/officeDocument/2006/relationships/hyperlink" Target="https://www.linkedin.com/in/diego-rodrigo-garcia/" TargetMode="External"/><Relationship Id="rId695" Type="http://schemas.openxmlformats.org/officeDocument/2006/relationships/hyperlink" Target="https://www.linkedin.com/in/maria-teresa-arrosagaray-26208aa/" TargetMode="External"/><Relationship Id="rId709" Type="http://schemas.openxmlformats.org/officeDocument/2006/relationships/hyperlink" Target="https://www.linkedin.com/in/alfredo-hern%C3%A1n-l%C3%B3pez-isla-0b156a1b9/?_gl=1*1co6c8e*_gcl_au*NTg4MTU1Mzc0LjE3NjQxODA3Mjg.*_ga*NzM0MDM5NTAwLjE3NjQxODA3Mjk.*_ga_7C6N0WZ5Q3*czE3NjkwODQ5NDAkbzc1JGcxJHQxNzY5MDg1NDkwJGo1OSRsMCRoMA" TargetMode="External"/><Relationship Id="rId45" Type="http://schemas.openxmlformats.org/officeDocument/2006/relationships/hyperlink" Target="mailto:gabriel.testagrossa@cba.gov.ar" TargetMode="External"/><Relationship Id="rId110" Type="http://schemas.openxmlformats.org/officeDocument/2006/relationships/hyperlink" Target="https://www.linkedin.com/in/carlos-alberto-ferrer-241934a2?lipi=urn%3Ali%3Apage%3Ad_flagship3_profile_view_base_contact_details%3BwA1YfcXUS5WIuuQQAspagQ%3D%3D" TargetMode="External"/><Relationship Id="rId348" Type="http://schemas.openxmlformats.org/officeDocument/2006/relationships/hyperlink" Target="mailto:gustavo.pedro@bmros.com.ar" TargetMode="External"/><Relationship Id="rId555" Type="http://schemas.openxmlformats.org/officeDocument/2006/relationships/hyperlink" Target="https://www.linkedin.com/in/ma-victoria-luque-1390b868/" TargetMode="External"/><Relationship Id="rId762" Type="http://schemas.openxmlformats.org/officeDocument/2006/relationships/hyperlink" Target="https://www.linkedin.com/in/matias-gustavo-jorquera-93229b238/" TargetMode="External"/><Relationship Id="rId194" Type="http://schemas.openxmlformats.org/officeDocument/2006/relationships/hyperlink" Target="https://www.linkedin.com/in/jaimesaldivia/?_gl=1*6ssh14*_gcl_au*MTM3Nzk3OTQyOC4xNzYwMzc2NTg0*_ga*NjEwNDgwNDEzLjE3NTkyNDAzNTk.*_ga_7C6N0WZ5Q3*czE3NjE3NTAyODAkbzE1MCRnMSR0MTc2MTc1MTA5NSRqMzckbDAkaDA" TargetMode="External"/><Relationship Id="rId208" Type="http://schemas.openxmlformats.org/officeDocument/2006/relationships/hyperlink" Target="https://www.linkedin.com/in/roque-montalvo-b9971a18/?_gl=1*1gqoya0*_gcl_au*MTM3Nzk3OTQyOC4xNzYwMzc2NTg0*_ga*NjEwNDgwNDEzLjE3NTkyNDAzNTk.*_ga_7C6N0WZ5Q3*czE3NjE3NjM5NTAkbzE1MiRnMSR0MTc2MTc2NDg1MSRqNjAkbDAkaDA" TargetMode="External"/><Relationship Id="rId415" Type="http://schemas.openxmlformats.org/officeDocument/2006/relationships/hyperlink" Target="https://www.linkedin.com/in/joseantunez/?_gl=1*g1laty*_gcl_au*MTM3Nzk3OTQyOC4xNzYwMzc2NTg0*_ga*MjExNDgzNDk1Ni4xNzYyMzY5NzM3*_ga_7C6N0WZ5Q3*czE3NjUyODQxMDckbzIxMSRnMSR0MTc2NTI5MjYyMiRqNjAkbDAkaDA" TargetMode="External"/><Relationship Id="rId622" Type="http://schemas.openxmlformats.org/officeDocument/2006/relationships/hyperlink" Target="https://www.linkedin.com/in/nahuel-whittall/" TargetMode="External"/><Relationship Id="rId261" Type="http://schemas.openxmlformats.org/officeDocument/2006/relationships/hyperlink" Target="https://www.linkedin.com/in/maria-cecilia-luna-5524a5b1/" TargetMode="External"/><Relationship Id="rId499" Type="http://schemas.openxmlformats.org/officeDocument/2006/relationships/hyperlink" Target="https://www.linkedin.com/in/conrado-costantini-4066a029/" TargetMode="External"/><Relationship Id="rId56" Type="http://schemas.openxmlformats.org/officeDocument/2006/relationships/hyperlink" Target="https://www.linkedin.com/in/diego-becette-1304b1129?lipi=urn%3Ali%3Apage%3Ad_flagship3_profile_view_base_contact_details%3B3hvDoVO3QTK7TVPEVyXg5w%3D%3D" TargetMode="External"/><Relationship Id="rId359" Type="http://schemas.openxmlformats.org/officeDocument/2006/relationships/hyperlink" Target="https://www.linkedin.com/in/fer-bautista/?_gl=1*15pfzca*_gcl_au*MTM3Nzk3OTQyOC4xNzYwMzc2NTg0*_ga*MjExNDgzNDk1Ni4xNzYyMzY5NzM3*_ga_7C6N0WZ5Q3*czE3NjQ4Njg3NjckbzIwOCRnMSR0MTc2NDg3MTQ2NCRqNjAkbDAkaDA" TargetMode="External"/><Relationship Id="rId566" Type="http://schemas.openxmlformats.org/officeDocument/2006/relationships/hyperlink" Target="https://www.linkedin.com/in/franco-genaro-cornaglia/" TargetMode="External"/><Relationship Id="rId773" Type="http://schemas.openxmlformats.org/officeDocument/2006/relationships/hyperlink" Target="https://www.linkedin.com/in/gustavo-echenique-96607196/" TargetMode="External"/><Relationship Id="rId121" Type="http://schemas.openxmlformats.org/officeDocument/2006/relationships/hyperlink" Target="https://www.linkedin.com/in/federico-fratucello-88853911/" TargetMode="External"/><Relationship Id="rId219" Type="http://schemas.openxmlformats.org/officeDocument/2006/relationships/hyperlink" Target="https://www.linkedin.com/in/alberto-felissia-32058148/" TargetMode="External"/><Relationship Id="rId426" Type="http://schemas.openxmlformats.org/officeDocument/2006/relationships/hyperlink" Target="https://www.linkedin.com/in/marcelo-ariel-cuello-05a597105/?_gl=1*3s7ttq*_gcl_au*MTM3Nzk3OTQyOC4xNzYwMzc2NTg0*_ga*MjExNDgzNDk1Ni4xNzYyMzY5NzM3*_ga_7C6N0WZ5Q3*czE3NjUyODQxMDckbzIxMSRnMSR0MTc2NTI5Mzg5MyRqMzkkbDAkaDA" TargetMode="External"/><Relationship Id="rId633" Type="http://schemas.openxmlformats.org/officeDocument/2006/relationships/hyperlink" Target="https://www.linkedin.com/in/lucasshortrede/" TargetMode="External"/><Relationship Id="rId67" Type="http://schemas.openxmlformats.org/officeDocument/2006/relationships/hyperlink" Target="https://www.linkedin.com/in/tomasbalverde-a63036264?lipi=urn%3Ali%3Apage%3Ad_flagship3_profile_view_base_contact_details%3BliZrTJzlSS6tAmabxj7YAA%3D%3D" TargetMode="External"/><Relationship Id="rId272" Type="http://schemas.openxmlformats.org/officeDocument/2006/relationships/hyperlink" Target="mailto:alberto.arcuri@zaldivar.com" TargetMode="External"/><Relationship Id="rId577" Type="http://schemas.openxmlformats.org/officeDocument/2006/relationships/hyperlink" Target="https://www.linkedin.com/in/cristian-david-117502133/" TargetMode="External"/><Relationship Id="rId700" Type="http://schemas.openxmlformats.org/officeDocument/2006/relationships/hyperlink" Target="mailto:jordan.funes@s9j.com.ar%20//%20jordan.funes@sanatorio9dejuliosa.com.ar" TargetMode="External"/><Relationship Id="rId132" Type="http://schemas.openxmlformats.org/officeDocument/2006/relationships/hyperlink" Target="mailto:epischedda@hinncordoba.com.ar" TargetMode="External"/><Relationship Id="rId784" Type="http://schemas.openxmlformats.org/officeDocument/2006/relationships/hyperlink" Target="mailto:grodriguez@bancor.com.ar" TargetMode="External"/><Relationship Id="rId437" Type="http://schemas.openxmlformats.org/officeDocument/2006/relationships/hyperlink" Target="https://www.linkedin.com/in/ignacio-augusto-858127b/?_gl=1*13mf9tu*_gcl_au*MTM3Nzk3OTQyOC4xNzYwMzc2NTg0*_ga*MjExNDgzNDk1Ni4xNzYyMzY5NzM3*_ga_7C6N0WZ5Q3*czE3NjUyODQxMDckbzIxMSRnMSR0MTc2NTI5NDQ3OCRqNjAkbDAkaDA" TargetMode="External"/><Relationship Id="rId644" Type="http://schemas.openxmlformats.org/officeDocument/2006/relationships/hyperlink" Target="https://www.linkedin.com/in/lucas-crivelli-14775940/" TargetMode="External"/><Relationship Id="rId283" Type="http://schemas.openxmlformats.org/officeDocument/2006/relationships/hyperlink" Target="https://www.linkedin.com/in/miguel-grigolato-1740b643/?_gl=1*eqafq6*_gcl_au*MTM3Nzk3OTQyOC4xNzYwMzc2NTg0*_ga*MjExNDgzNDk1Ni4xNzYyMzY5NzM3*_ga_7C6N0WZ5Q3*czE3NjM0MDQ5OTQkbzE4OCRnMSR0MTc2MzQwNjU3MyRqMzckbDAkaDA" TargetMode="External"/><Relationship Id="rId490" Type="http://schemas.openxmlformats.org/officeDocument/2006/relationships/hyperlink" Target="https://www.linkedin.com/in/daniel-michlig-140b41171/" TargetMode="External"/><Relationship Id="rId504" Type="http://schemas.openxmlformats.org/officeDocument/2006/relationships/hyperlink" Target="https://www.linkedin.com/in/alejandro-f-ferreyra-883b1646/" TargetMode="External"/><Relationship Id="rId711" Type="http://schemas.openxmlformats.org/officeDocument/2006/relationships/hyperlink" Target="https://www.linkedin.com/in/marcelo-padovani-8484bab/?_gl=1*1v6mc7f*_gcl_au*MTAxMjYxODkuMTc2ODMxMTQ3Nw..*_ga*MjExNDgzNDk1Ni4xNzYyMzY5NzM3*_ga_7C6N0WZ5Q3*czE3NjkxMDU2MDAkbzI0MCRnMSR0MTc2OTEwNTkzNyRqMTIkbDAkaDA" TargetMode="External"/><Relationship Id="rId78" Type="http://schemas.openxmlformats.org/officeDocument/2006/relationships/hyperlink" Target="mailto:mfranco@bodegasalentein.com" TargetMode="External"/><Relationship Id="rId143" Type="http://schemas.openxmlformats.org/officeDocument/2006/relationships/hyperlink" Target="mailto:compras@frecicar.ar" TargetMode="External"/><Relationship Id="rId350" Type="http://schemas.openxmlformats.org/officeDocument/2006/relationships/hyperlink" Target="https://www.linkedin.com/in/ignaciomb87/" TargetMode="External"/><Relationship Id="rId588" Type="http://schemas.openxmlformats.org/officeDocument/2006/relationships/hyperlink" Target="https://www.linkedin.com/in/marco-lanese-pettit/" TargetMode="External"/><Relationship Id="rId795" Type="http://schemas.openxmlformats.org/officeDocument/2006/relationships/hyperlink" Target="mailto:matiasmortola@funescoop.com.ar" TargetMode="External"/><Relationship Id="rId809" Type="http://schemas.openxmlformats.org/officeDocument/2006/relationships/hyperlink" Target="https://www.linkedin.com/in/beatrizarmandugon/" TargetMode="External"/><Relationship Id="rId9" Type="http://schemas.openxmlformats.org/officeDocument/2006/relationships/hyperlink" Target="mailto:cmontecinos@mendoza.edu.ar" TargetMode="External"/><Relationship Id="rId210" Type="http://schemas.openxmlformats.org/officeDocument/2006/relationships/hyperlink" Target="mailto:rbortolotto@coprotab.com" TargetMode="External"/><Relationship Id="rId448" Type="http://schemas.openxmlformats.org/officeDocument/2006/relationships/hyperlink" Target="https://www.linkedin.com/in/vicente-luis-lorenzo/" TargetMode="External"/><Relationship Id="rId655" Type="http://schemas.openxmlformats.org/officeDocument/2006/relationships/hyperlink" Target="https://www.linkedin.com/in/christian-leonel-goncalves-18137819b/" TargetMode="External"/><Relationship Id="rId294" Type="http://schemas.openxmlformats.org/officeDocument/2006/relationships/hyperlink" Target="https://www.linkedin.com/in/alejandro-raul-vicentini-a71a9217/?_gl=1*fib3uz*_gcl_au*MTM3Nzk3OTQyOC4xNzYwMzc2NTg0*_ga*MjExNDgzNDk1Ni4xNzYyMzY5NzM3*_ga_7C6N0WZ5Q3*czE3NjI4ODU3MzMkbzE3NSRnMSR0MTc2Mjg4OTU1MCRqNCRsMCRoMA" TargetMode="External"/><Relationship Id="rId308" Type="http://schemas.openxmlformats.org/officeDocument/2006/relationships/hyperlink" Target="https://www.linkedin.com/in/claudio-fabian-manero-cio-a6435677/?_gl=1*gl2jxe*_gcl_au*MTM3Nzk3OTQyOC4xNzYwMzc2NTg0*_ga*MjExNDgzNDk1Ni4xNzYyMzY5NzM3*_ga_7C6N0WZ5Q3*czE3NjI5NTE3NTkkbzE3NyRnMSR0MTc2Mjk1NzIyMSRqNTckbDAkaDA" TargetMode="External"/><Relationship Id="rId515" Type="http://schemas.openxmlformats.org/officeDocument/2006/relationships/hyperlink" Target="https://www.linkedin.com/in/ger%C3%B3nimo-bigliani-2b58bb288/" TargetMode="External"/><Relationship Id="rId722" Type="http://schemas.openxmlformats.org/officeDocument/2006/relationships/hyperlink" Target="https://www.linkedin.com/in/juan-andres-perez-b0747712a/" TargetMode="External"/><Relationship Id="rId89" Type="http://schemas.openxmlformats.org/officeDocument/2006/relationships/hyperlink" Target="https://www.linkedin.com/in/franco-bonis-industriaminerayenergetica?lipi=urn%3Ali%3Apage%3Ad_flagship3_profile_view_base_contact_details%3BHDMpBEvATJCq97HTVTRSgQ%3D%3D" TargetMode="External"/><Relationship Id="rId154" Type="http://schemas.openxmlformats.org/officeDocument/2006/relationships/hyperlink" Target="mailto:marcelo.rodriguez@lorenzoautomotores.com.aR" TargetMode="External"/><Relationship Id="rId361" Type="http://schemas.openxmlformats.org/officeDocument/2006/relationships/hyperlink" Target="https://www.linkedin.com/in/martin-sampano-a48b373b/?_gl=1*15pfzca*_gcl_au*MTM3Nzk3OTQyOC4xNzYwMzc2NTg0*_ga*MjExNDgzNDk1Ni4xNzYyMzY5NzM3*_ga_7C6N0WZ5Q3*czE3NjQ4Njg3NjckbzIwOCRnMSR0MTc2NDg3MTQ2NCRqNjAkbDAkaDA" TargetMode="External"/><Relationship Id="rId599" Type="http://schemas.openxmlformats.org/officeDocument/2006/relationships/hyperlink" Target="https://www.linkedin.com/in/ricardo-ernesto-barrera-6ab573296/?_gl=1*15nzshj*_gcl_au*MTM3Nzk3OTQyOC4xNzYwMzc2NTg0*_ga*MjExNDgzNDk1Ni4xNzYyMzY5NzM3*_ga_7C6N0WZ5Q3*czE3NjU4MjQzMDkkbzIxOSRnMSR0MTc2NTgyNjI5MSRqMjgkbDAkaDA" TargetMode="External"/><Relationship Id="rId459" Type="http://schemas.openxmlformats.org/officeDocument/2006/relationships/hyperlink" Target="https://www.linkedin.com/in/fernando-j-luciani-54219236/" TargetMode="External"/><Relationship Id="rId666" Type="http://schemas.openxmlformats.org/officeDocument/2006/relationships/hyperlink" Target="https://www.linkedin.com/in/c21570/" TargetMode="External"/><Relationship Id="rId16" Type="http://schemas.openxmlformats.org/officeDocument/2006/relationships/hyperlink" Target="https://www.linkedin.com/in/lucas-gimenez-bachiocchi-95a3501b4?lipi=urn%3Ali%3Apage%3Ad_flagship3_profile_view_base_contact_details%3BvSOB8JGdTfynH8loAxfASA%3D%3D" TargetMode="External"/><Relationship Id="rId221" Type="http://schemas.openxmlformats.org/officeDocument/2006/relationships/hyperlink" Target="https://www.linkedin.com/in/emilse-eroles-97992622/?_gl=1*1xd5pnx*_gcl_au*MTM3Nzk3OTQyOC4xNzYwMzc2NTg0*_ga*MjExNDgzNDk1Ni4xNzYyMzY5NzM3*_ga_7C6N0WZ5Q3*czE3NjIzNzI1NTYkbzE2MiRnMSR0MTc2MjM3NDQ2NCRqNTckbDAkaDA" TargetMode="External"/><Relationship Id="rId319" Type="http://schemas.openxmlformats.org/officeDocument/2006/relationships/hyperlink" Target="https://www.linkedin.com/in/guadalupe-colombres-garmendia-b010a8a/?_gl=1*aqyt4x*_gcl_au*MTM3Nzk3OTQyOC4xNzYwMzc2NTg0*_ga*MjExNDgzNDk1Ni4xNzYyMzY5NzM3*_ga_7C6N0WZ5Q3*czE3NjI5NjcwMTEkbzE3OSRnMSR0MTc2Mjk3MjQ0MCRqNDQkbDAkaDA" TargetMode="External"/><Relationship Id="rId526" Type="http://schemas.openxmlformats.org/officeDocument/2006/relationships/hyperlink" Target="https://www.linkedin.com/in/costagabrielstafe/" TargetMode="External"/><Relationship Id="rId733" Type="http://schemas.openxmlformats.org/officeDocument/2006/relationships/hyperlink" Target="https://www.linkedin.com/in/lic-ger%C3%B3nimo-gonz%C3%A1lez-ing/" TargetMode="External"/><Relationship Id="rId165" Type="http://schemas.openxmlformats.org/officeDocument/2006/relationships/hyperlink" Target="https://www.linkedin.com/in/gonzalo-sarmiento-843b8a21/" TargetMode="External"/><Relationship Id="rId372" Type="http://schemas.openxmlformats.org/officeDocument/2006/relationships/hyperlink" Target="https://www.linkedin.com/in/tomas-sedran-170355230/?_gl=1*ki8ii5*_gcl_au*MTM3Nzk3OTQyOC4xNzYwMzc2NTg0*_ga*MjExNDgzNDk1Ni4xNzYyMzY5NzM3*_ga_7C6N0WZ5Q3*czE3NjQ5NDA3MDgkbzIxMCRnMSR0MTc2NDk0MzU3MCRqNjAkbDAkaDA" TargetMode="External"/><Relationship Id="rId677" Type="http://schemas.openxmlformats.org/officeDocument/2006/relationships/hyperlink" Target="https://www.linkedin.com/in/mario-matheu-0025b39/" TargetMode="External"/><Relationship Id="rId800" Type="http://schemas.openxmlformats.org/officeDocument/2006/relationships/hyperlink" Target="https://www.linkedin.com/in/oscar-alberto-alvarez-92218716b/" TargetMode="External"/><Relationship Id="rId232" Type="http://schemas.openxmlformats.org/officeDocument/2006/relationships/hyperlink" Target="https://www.linkedin.com/in/hrichart/?_gl=1*a277e4*_gcl_au*MTM3Nzk3OTQyOC4xNzYwMzc2NTg0*_ga*MjExNDgzNDk1Ni4xNzYyMzY5NzM3*_ga_7C6N0WZ5Q3*czE3NjI0Mzk2ODEkbzE2NCRnMCR0MTc2MjQzOTY4MSRqNjAkbDAkaDA" TargetMode="External"/><Relationship Id="rId27" Type="http://schemas.openxmlformats.org/officeDocument/2006/relationships/hyperlink" Target="mailto:ogutierr@uncu.edu.ar" TargetMode="External"/><Relationship Id="rId537" Type="http://schemas.openxmlformats.org/officeDocument/2006/relationships/hyperlink" Target="mailto:vricci@jerarquicos.com" TargetMode="External"/><Relationship Id="rId744" Type="http://schemas.openxmlformats.org/officeDocument/2006/relationships/hyperlink" Target="https://www.linkedin.com/in/fdchiappe/" TargetMode="External"/><Relationship Id="rId80" Type="http://schemas.openxmlformats.org/officeDocument/2006/relationships/hyperlink" Target="mailto:mmelocchi@edemsa.com" TargetMode="External"/><Relationship Id="rId176" Type="http://schemas.openxmlformats.org/officeDocument/2006/relationships/hyperlink" Target="mailto:dmontenegro@gypnqn.com.ar" TargetMode="External"/><Relationship Id="rId383" Type="http://schemas.openxmlformats.org/officeDocument/2006/relationships/hyperlink" Target="https://www.linkedin.com/in/maximiliano-loss/?_gl=1*102jon9*_gcl_au*MTM3Nzk3OTQyOC4xNzYwMzc2NTg0*_ga*MjExNDgzNDk1Ni4xNzYyMzY5NzM3*_ga_7C6N0WZ5Q3*czE3NjQ5NDA3MDgkbzIxMCRnMSR0MTc2NDk0NTI5OSRqMzMkbDAkaDA" TargetMode="External"/><Relationship Id="rId590" Type="http://schemas.openxmlformats.org/officeDocument/2006/relationships/hyperlink" Target="https://www.linkedin.com/in/daniel-j-m-urizar-74ba034/" TargetMode="External"/><Relationship Id="rId604" Type="http://schemas.openxmlformats.org/officeDocument/2006/relationships/hyperlink" Target="https://www.linkedin.com/in/edgardo-david-montero-2b04b2227/?_gl=1*1p23yqr*_gcl_au*MTM3Nzk3OTQyOC4xNzYwMzc2NTg0*_ga*MjExNDgzNDk1Ni4xNzYyMzY5NzM3*_ga_7C6N0WZ5Q3*czE3NjU4MjQzMDkkbzIxOSRnMSR0MTc2NTgyNzIyNSRqNTkkbDAkaDA" TargetMode="External"/><Relationship Id="rId811" Type="http://schemas.openxmlformats.org/officeDocument/2006/relationships/hyperlink" Target="https://www.linkedin.com/in/daniel-marchionna-cia-58941224/" TargetMode="External"/><Relationship Id="rId243" Type="http://schemas.openxmlformats.org/officeDocument/2006/relationships/hyperlink" Target="https://www.linkedin.com/in/martin-gorostegui-2a9a9346/?_gl=1*10t6loc*_gcl_au*MTM3Nzk3OTQyOC4xNzYwMzc2NTg0*_ga*MjExNDgzNDk1Ni4xNzYyMzY5NzM3*_ga_7C6N0WZ5Q3*czE3NjI0NTUyNDEkbzE2NSRnMSR0MTc2MjQ1NjY5MSRqMTgkbDAkaDA" TargetMode="External"/><Relationship Id="rId450" Type="http://schemas.openxmlformats.org/officeDocument/2006/relationships/hyperlink" Target="https://www.linkedin.com/in/guillermo-sandez-0768824/" TargetMode="External"/><Relationship Id="rId688" Type="http://schemas.openxmlformats.org/officeDocument/2006/relationships/hyperlink" Target="https://www.linkedin.com/in/javier-varas-a0169a92/" TargetMode="External"/><Relationship Id="rId38" Type="http://schemas.openxmlformats.org/officeDocument/2006/relationships/hyperlink" Target="https://www.linkedin.com/in/luciano-rizzetti-0659106/" TargetMode="External"/><Relationship Id="rId103" Type="http://schemas.openxmlformats.org/officeDocument/2006/relationships/hyperlink" Target="mailto:angelpitton@montemar.com.ar" TargetMode="External"/><Relationship Id="rId310" Type="http://schemas.openxmlformats.org/officeDocument/2006/relationships/hyperlink" Target="https://www.linkedin.com/in/ramiro-avila-59910a2a8/?_gl=1*1kc2d2d*_gcl_au*MTM3Nzk3OTQyOC4xNzYwMzc2NTg0*_ga*MjExNDgzNDk1Ni4xNzYyMzY5NzM3*_ga_7C6N0WZ5Q3*czE3NjI5NjAzODQkbzE3OCRnMSR0MTc2Mjk2MDg5OCRqNDgkbDAkaDA" TargetMode="External"/><Relationship Id="rId548" Type="http://schemas.openxmlformats.org/officeDocument/2006/relationships/hyperlink" Target="https://www.linkedin.com/in/amparo-ortega-4963a2249/" TargetMode="External"/><Relationship Id="rId755" Type="http://schemas.openxmlformats.org/officeDocument/2006/relationships/hyperlink" Target="https://www.linkedin.com/in/agustin-sassone/" TargetMode="External"/><Relationship Id="rId91" Type="http://schemas.openxmlformats.org/officeDocument/2006/relationships/hyperlink" Target="https://www.linkedin.com/in/sergioanselmi?lipi=urn%3Ali%3Apage%3Ad_flagship3_profile_view_base_contact_details%3BkRQtaSJYTAeMDxK6PFFb4w%3D%3D" TargetMode="External"/><Relationship Id="rId187" Type="http://schemas.openxmlformats.org/officeDocument/2006/relationships/hyperlink" Target="https://www.linkedin.com/in/agustin-largayoli-0560a41a1?lipi=urn%3Ali%3Apage%3Ad_flagship3_profile_view_base_contact_details%3BZ%2Bc%2BK%2FmuTqWO0zPPqIpb5g%3D%3D" TargetMode="External"/><Relationship Id="rId394" Type="http://schemas.openxmlformats.org/officeDocument/2006/relationships/hyperlink" Target="https://www.linkedin.com/in/soraya-gonzalez-7ba95853/?_gl=1*1t0yix*_gcl_au*MTM3Nzk3OTQyOC4xNzYwMzc2NTg0*_ga*MjExNDgzNDk1Ni4xNzYyMzY5NzM3*_ga_7C6N0WZ5Q3*czE3NjUyODQxMDckbzIxMSRnMSR0MTc2NTI4ODY3NiRqNjAkbDAkaDA" TargetMode="External"/><Relationship Id="rId408" Type="http://schemas.openxmlformats.org/officeDocument/2006/relationships/hyperlink" Target="https://www.linkedin.com/in/ACoAADJ2rzYBlKVu6HSzha2jTl4eO2mxiiA7now?lipi=urn%3Ali%3Apage%3Ad_flagship3_messaging_conversation_detail%3B3hqOW4XdQ9anS829MR8zCw%3D%3D" TargetMode="External"/><Relationship Id="rId615" Type="http://schemas.openxmlformats.org/officeDocument/2006/relationships/hyperlink" Target="https://www.linkedin.com/in/pablowaldmann/?_gl=1*1rk8ocw*_gcl_au*MTM3Nzk3OTQyOC4xNzYwMzc2NTg0*_ga*MjExNDgzNDk1Ni4xNzYyMzY5NzM3*_ga_7C6N0WZ5Q3*czE3NjU4MjQzMDkkbzIxOSRnMSR0MTc2NTgyODc5MCRqNjAkbDAkaDA" TargetMode="External"/><Relationship Id="rId254" Type="http://schemas.openxmlformats.org/officeDocument/2006/relationships/hyperlink" Target="mailto:alejandro.wulfsztat@hospital.uncu.edu.ar" TargetMode="External"/><Relationship Id="rId699" Type="http://schemas.openxmlformats.org/officeDocument/2006/relationships/hyperlink" Target="https://www.linkedin.com/in/marcelo-besteiro-21088928/" TargetMode="External"/><Relationship Id="rId49" Type="http://schemas.openxmlformats.org/officeDocument/2006/relationships/hyperlink" Target="https://www.linkedin.com/in/mariano-santillan-06328a134?_gl=1*wtelql*_gcl_au*MTM3Nzk3OTQyOC4xNzYwMzc2NTg0*_ga*NjEwNDgwNDEzLjE3NTkyNDAzNTk.*_ga_7C6N0WZ5Q3*czE3NjExNTQ5MjYkbzEzNyRnMSR0MTc2MTE1NjIzOCRqNjAkbDAkaDA" TargetMode="External"/><Relationship Id="rId114" Type="http://schemas.openxmlformats.org/officeDocument/2006/relationships/hyperlink" Target="https://www.linkedin.com/in/francoamicantonio?lipi=urn%3Ali%3Apage%3Ad_flagship3_profile_view_base_contact_details%3BfVA2XN4fQdSc8q7aEVT%2BoA%3D%3D" TargetMode="External"/><Relationship Id="rId461" Type="http://schemas.openxmlformats.org/officeDocument/2006/relationships/hyperlink" Target="https://www.linkedin.com/in/pablo-kopec-304a7621/" TargetMode="External"/><Relationship Id="rId559" Type="http://schemas.openxmlformats.org/officeDocument/2006/relationships/hyperlink" Target="https://www.linkedin.com/in/sergio-glories-4a4b6842/" TargetMode="External"/><Relationship Id="rId766" Type="http://schemas.openxmlformats.org/officeDocument/2006/relationships/hyperlink" Target="https://www.linkedin.com/in/fabi%C3%A1n-a-gonz%C3%A1lez-lugano-55165b39/" TargetMode="External"/><Relationship Id="rId198" Type="http://schemas.openxmlformats.org/officeDocument/2006/relationships/hyperlink" Target="https://www.linkedin.com/in/gerardomartinez/?_gl=1*1vrm3fu*_gcl_au*MTM3Nzk3OTQyOC4xNzYwMzc2NTg0*_ga*NjEwNDgwNDEzLjE3NTkyNDAzNTk.*_ga_7C6N0WZ5Q3*czE3NjE3NTAyODAkbzE1MCRnMSR0MTc2MTc1MjE4MyRqNjAkbDAkaDA" TargetMode="External"/><Relationship Id="rId321" Type="http://schemas.openxmlformats.org/officeDocument/2006/relationships/hyperlink" Target="https://www.linkedin.com/in/axellarreteguy/?_gl=1*enge5m*_gcl_au*MTM3Nzk3OTQyOC4xNzYwMzc2NTg0*_ga*MjExNDgzNDk1Ni4xNzYyMzY5NzM3*_ga_7C6N0WZ5Q3*czE3NjI5NjcwMTEkbzE3OSRnMSR0MTc2Mjk3MjQ0MCRqNDQkbDAkaDA" TargetMode="External"/><Relationship Id="rId419" Type="http://schemas.openxmlformats.org/officeDocument/2006/relationships/hyperlink" Target="https://www.linkedin.com/in/walter-realini-6b032b223/" TargetMode="External"/><Relationship Id="rId626" Type="http://schemas.openxmlformats.org/officeDocument/2006/relationships/hyperlink" Target="https://www.linkedin.com/in/ivan-bravo-936187113/?_gl=1*8b4j33*_gcl_au*MTM3Nzk3OTQyOC4xNzYwMzc2NTg0*_ga*MjExNDgzNDk1Ni4xNzYyMzY5NzM3*_ga_7C6N0WZ5Q3*czE3NjU5OTEzNTgkbzIyNiRnMSR0MTc2NTk5MTc0MCRqNiRsMCRoMA" TargetMode="External"/><Relationship Id="rId265" Type="http://schemas.openxmlformats.org/officeDocument/2006/relationships/hyperlink" Target="https://www.linkedin.com/in/mauricio-sosa-777453274/" TargetMode="External"/><Relationship Id="rId472" Type="http://schemas.openxmlformats.org/officeDocument/2006/relationships/hyperlink" Target="https://www.linkedin.com/in/cristian-inverardi-1a93577/?_gl=1*1vh9mjy*_gcl_au*MTM3Nzk3OTQyOC4xNzYwMzc2NTg0*_ga*MjExNDgzNDk1Ni4xNzYyMzY5NzM3*_ga_7C6N0WZ5Q3*czE3NjUzNzExOTgkbzIxMyRnMSR0MTc2NTM3NTkwNCRqNTQkbDAkaDA" TargetMode="External"/><Relationship Id="rId125" Type="http://schemas.openxmlformats.org/officeDocument/2006/relationships/hyperlink" Target="mailto:compras@edma.com.ar" TargetMode="External"/><Relationship Id="rId332" Type="http://schemas.openxmlformats.org/officeDocument/2006/relationships/hyperlink" Target="mailto:amartin@prodeman.com.ar" TargetMode="External"/><Relationship Id="rId777" Type="http://schemas.openxmlformats.org/officeDocument/2006/relationships/hyperlink" Target="https://www.linkedin.com/in/carina-boggia-75249b327/" TargetMode="External"/><Relationship Id="rId637" Type="http://schemas.openxmlformats.org/officeDocument/2006/relationships/hyperlink" Target="https://www.linkedin.com/in/franco-costantini-1051711b6/" TargetMode="External"/><Relationship Id="rId276" Type="http://schemas.openxmlformats.org/officeDocument/2006/relationships/hyperlink" Target="mailto:mzarlenga@cartellone.com.ar" TargetMode="External"/><Relationship Id="rId483" Type="http://schemas.openxmlformats.org/officeDocument/2006/relationships/hyperlink" Target="https://www.linkedin.com/in/ramon-quagliata-2324593b/?_gl=1*1o6ul5b*_gcl_au*MTM3Nzk3OTQyOC4xNzYwMzc2NTg0*_ga*MjExNDgzNDk1Ni4xNzYyMzY5NzM3*_ga_7C6N0WZ5Q3*czE3NjUzODY3OTAkbzIxNCRnMSR0MTc2NTM4NzA3MiRqNDIkbDAkaDA" TargetMode="External"/><Relationship Id="rId690" Type="http://schemas.openxmlformats.org/officeDocument/2006/relationships/hyperlink" Target="https://www.linkedin.com/in/maparadiso/" TargetMode="External"/><Relationship Id="rId704" Type="http://schemas.openxmlformats.org/officeDocument/2006/relationships/hyperlink" Target="https://www.linkedin.com/in/pablo-martin-iba%C3%B1ez-0340b81b8/?_gl=1*cqqhfi*_gcl_au*MTAxMjYxODkuMTc2ODMxMTQ3Nw..*_ga*MjExNDgzNDk1Ni4xNzYyMzY5NzM3*_ga_7C6N0WZ5Q3*czE3Njg5MTU4NDEkbzIzNyRnMSR0MTc2ODkxNjI4OSRqNjAkbDAkaDA" TargetMode="External"/><Relationship Id="rId40" Type="http://schemas.openxmlformats.org/officeDocument/2006/relationships/hyperlink" Target="https://www.linkedin.com/in/sonia-do%C3%B1a-3b939379?_gl=1*lzp0k2*_gcl_au*MTM3Nzk3OTQyOC4xNzYwMzc2NTg0*_ga*NjEwNDgwNDEzLjE3NTkyNDAzNTk.*_ga_7C6N0WZ5Q3*czE3NjExNDY1OTUkbzEzNiRnMSR0MTc2MTE0ODEwMSRqNjAkbDAkaDA" TargetMode="External"/><Relationship Id="rId136" Type="http://schemas.openxmlformats.org/officeDocument/2006/relationships/hyperlink" Target="mailto:daniel.bovina@cervantes.edu.ar" TargetMode="External"/><Relationship Id="rId343" Type="http://schemas.openxmlformats.org/officeDocument/2006/relationships/hyperlink" Target="https://www.linkedin.com/in/sebastian-alemany/" TargetMode="External"/><Relationship Id="rId550" Type="http://schemas.openxmlformats.org/officeDocument/2006/relationships/hyperlink" Target="https://www.linkedin.com/in/sebastian-rucci/" TargetMode="External"/><Relationship Id="rId788" Type="http://schemas.openxmlformats.org/officeDocument/2006/relationships/hyperlink" Target="https://www.linkedin.com/in/gabriel-amado-69868645/" TargetMode="External"/><Relationship Id="rId203" Type="http://schemas.openxmlformats.org/officeDocument/2006/relationships/hyperlink" Target="https://www.linkedin.com/in/matias-pedro-alfonso-14480133/?_gl=1*1q6a5ce*_gcl_au*MTM3Nzk3OTQyOC4xNzYwMzc2NTg0*_ga*NjEwNDgwNDEzLjE3NTkyNDAzNTk.*_ga_7C6N0WZ5Q3*czE3NjE3NTk4MjQkbzE1MSRnMSR0MTc2MTc2MDYyMSRqNDQkbDAkaDA" TargetMode="External"/><Relationship Id="rId648" Type="http://schemas.openxmlformats.org/officeDocument/2006/relationships/hyperlink" Target="https://www.linkedin.com/in/diego-garbero/" TargetMode="External"/><Relationship Id="rId287" Type="http://schemas.openxmlformats.org/officeDocument/2006/relationships/hyperlink" Target="https://www.linkedin.com/in/nestor-vicente-b500b279/" TargetMode="External"/><Relationship Id="rId410" Type="http://schemas.openxmlformats.org/officeDocument/2006/relationships/hyperlink" Target="https://www.linkedin.com/in/jorge-navone/" TargetMode="External"/><Relationship Id="rId494" Type="http://schemas.openxmlformats.org/officeDocument/2006/relationships/hyperlink" Target="https://www.linkedin.com/in/daniel-gustavo-prez-6936b027/" TargetMode="External"/><Relationship Id="rId508" Type="http://schemas.openxmlformats.org/officeDocument/2006/relationships/hyperlink" Target="https://www.linkedin.com/in/tomas-leguizamon-b38b68b6/" TargetMode="External"/><Relationship Id="rId715" Type="http://schemas.openxmlformats.org/officeDocument/2006/relationships/hyperlink" Target="https://www.linkedin.com/in/mateodanielperez/" TargetMode="External"/><Relationship Id="rId147" Type="http://schemas.openxmlformats.org/officeDocument/2006/relationships/hyperlink" Target="mailto:gcomeglio@mdzol.com" TargetMode="External"/><Relationship Id="rId354" Type="http://schemas.openxmlformats.org/officeDocument/2006/relationships/hyperlink" Target="https://www.linkedin.com/in/fernando-peleh/?_gl=1*rar21t*_gcl_au*MTM3Nzk3OTQyOC4xNzYwMzc2NTg0*_ga*MjExNDgzNDk1Ni4xNzYyMzY5NzM3*_ga_7C6N0WZ5Q3*czE3NjQ4Njg3NjckbzIwOCRnMSR0MTc2NDg3MTE2OCRqNTUkbDAkaDA" TargetMode="External"/><Relationship Id="rId799" Type="http://schemas.openxmlformats.org/officeDocument/2006/relationships/hyperlink" Target="https://www.linkedin.com/in/fernando-santiago-rossi-272816a9/" TargetMode="External"/><Relationship Id="rId51" Type="http://schemas.openxmlformats.org/officeDocument/2006/relationships/hyperlink" Target="https://www.linkedin.com/in/gustavo-elzegbe-533a6525?_gl=1*1mrhcal*_gcl_au*MTM3Nzk3OTQyOC4xNzYwMzc2NTg0*_ga*NjEwNDgwNDEzLjE3NTkyNDAzNTk.*_ga_7C6N0WZ5Q3*czE3NjExNTQ5MjYkbzEzNyRnMSR0MTc2MTE1ODY5NSRqNjAkbDAkaDA" TargetMode="External"/><Relationship Id="rId561" Type="http://schemas.openxmlformats.org/officeDocument/2006/relationships/hyperlink" Target="https://www.linkedin.com/in/daniel-bertone/" TargetMode="External"/><Relationship Id="rId659" Type="http://schemas.openxmlformats.org/officeDocument/2006/relationships/hyperlink" Target="https://www.linkedin.com/in/florencia-peralta-411b9516/" TargetMode="External"/><Relationship Id="rId214" Type="http://schemas.openxmlformats.org/officeDocument/2006/relationships/hyperlink" Target="https://www.linkedin.com/in/german-foix/" TargetMode="External"/><Relationship Id="rId298" Type="http://schemas.openxmlformats.org/officeDocument/2006/relationships/hyperlink" Target="https://www.linkedin.com/in/walter-francesconi-39a0671a/?_gl=1*1qiwtr0*_gcl_au*MTM3Nzk3OTQyOC4xNzYwMzc2NTg0*_ga*MjExNDgzNDk1Ni4xNzYyMzY5NzM3*_ga_7C6N0WZ5Q3*czE3NjI4ODU3MzMkbzE3NSRnMSR0MTc2Mjg5MDY5MiRqNjAkbDAkaDA" TargetMode="External"/><Relationship Id="rId421" Type="http://schemas.openxmlformats.org/officeDocument/2006/relationships/hyperlink" Target="https://www.linkedin.com/in/marcelo-franzone-762263a/?_gl=1*f7oeuo*_gcl_au*MTM3Nzk3OTQyOC4xNzYwMzc2NTg0*_ga*MjExNDgzNDk1Ni4xNzYyMzY5NzM3*_ga_7C6N0WZ5Q3*czE3NjUyODQxMDckbzIxMSRnMSR0MTc2NTI5MzIxMSRqNTgkbDAkaDA" TargetMode="External"/><Relationship Id="rId519" Type="http://schemas.openxmlformats.org/officeDocument/2006/relationships/hyperlink" Target="https://www.linkedin.com/in/alexis-orellano-a82740ab/" TargetMode="External"/><Relationship Id="rId158" Type="http://schemas.openxmlformats.org/officeDocument/2006/relationships/hyperlink" Target="mailto:mario.andreoni@verallia.com" TargetMode="External"/><Relationship Id="rId726" Type="http://schemas.openxmlformats.org/officeDocument/2006/relationships/hyperlink" Target="https://www.linkedin.com/in/jorge-andr%C3%A9s-fiad-32463198/" TargetMode="External"/><Relationship Id="rId62" Type="http://schemas.openxmlformats.org/officeDocument/2006/relationships/hyperlink" Target="https://www.linkedin.com/in/fabricioaffar?lipi=urn%3Ali%3Apage%3Ad_flagship3_profile_view_base_contact_details%3BuFQGH6SoQLu39H8F3mugnA%3D%3D" TargetMode="External"/><Relationship Id="rId365" Type="http://schemas.openxmlformats.org/officeDocument/2006/relationships/hyperlink" Target="https://www.linkedin.com/in/henry-perret-bb015133/?_gl=1*102jon9*_gcl_au*MTM3Nzk3OTQyOC4xNzYwMzc2NTg0*_ga*MjExNDgzNDk1Ni4xNzYyMzY5NzM3*_ga_7C6N0WZ5Q3*czE3NjQ5NDA3MDgkbzIxMCRnMSR0MTc2NDk0NTI5OSRqMzMkbDAkaDA" TargetMode="External"/><Relationship Id="rId572" Type="http://schemas.openxmlformats.org/officeDocument/2006/relationships/hyperlink" Target="https://www.linkedin.com/in/jesicafernandezrrhh/" TargetMode="External"/><Relationship Id="rId225" Type="http://schemas.openxmlformats.org/officeDocument/2006/relationships/hyperlink" Target="https://www.linkedin.com/in/jorge-ignacio-boltshauser-666255123/?_gl=1*1pyay9g*_gcl_au*MTM3Nzk3OTQyOC4xNzYwMzc2NTg0*_ga*MjExNDgzNDk1Ni4xNzYyMzY5NzM3*_ga_7C6N0WZ5Q3*czE3NjI0MzM3MzAkbzE2MyRnMSR0MTc2MjQzNDc2NiRqNTgkbDAkaDA" TargetMode="External"/><Relationship Id="rId432" Type="http://schemas.openxmlformats.org/officeDocument/2006/relationships/hyperlink" Target="https://www.linkedin.com/in/gustavo-ulises-bocchio-8150896/" TargetMode="External"/><Relationship Id="rId737" Type="http://schemas.openxmlformats.org/officeDocument/2006/relationships/hyperlink" Target="https://www.linkedin.com/in/mario-guillermo-s-7109841b/" TargetMode="External"/><Relationship Id="rId73" Type="http://schemas.openxmlformats.org/officeDocument/2006/relationships/hyperlink" Target="https://www.linkedin.com/in/wsimon/" TargetMode="External"/><Relationship Id="rId169" Type="http://schemas.openxmlformats.org/officeDocument/2006/relationships/hyperlink" Target="mailto:llattan@jfs.com.ar" TargetMode="External"/><Relationship Id="rId376" Type="http://schemas.openxmlformats.org/officeDocument/2006/relationships/hyperlink" Target="https://www.linkedin.com/in/lic-paula-bustos/?_gl=1*8rxca1*_gcl_au*MTM3Nzk3OTQyOC4xNzYwMzc2NTg0*_ga*MjExNDgzNDk1Ni4xNzYyMzY5NzM3*_ga_7C6N0WZ5Q3*czE3NjQ5NDA3MDgkbzIxMCRnMSR0MTc2NDk0NDU1NSRqMTkkbDAkaDA" TargetMode="External"/><Relationship Id="rId583" Type="http://schemas.openxmlformats.org/officeDocument/2006/relationships/hyperlink" Target="https://www.linkedin.com/in/carlos-bechi/" TargetMode="External"/><Relationship Id="rId790" Type="http://schemas.openxmlformats.org/officeDocument/2006/relationships/hyperlink" Target="mailto:gerenciadeoperaciones@osde.com.ar%20refiri&#243;%20a%20operaciones" TargetMode="External"/><Relationship Id="rId804" Type="http://schemas.openxmlformats.org/officeDocument/2006/relationships/hyperlink" Target="https://www.linkedin.com/in/robertomartininfrasistemas/" TargetMode="External"/><Relationship Id="rId4" Type="http://schemas.openxmlformats.org/officeDocument/2006/relationships/hyperlink" Target="https://www.linkedin.com/in/sandraeleo/" TargetMode="External"/><Relationship Id="rId236" Type="http://schemas.openxmlformats.org/officeDocument/2006/relationships/hyperlink" Target="https://www.linkedin.com/in/sebastian-labonia/?_gl=1*10t6loc*_gcl_au*MTM3Nzk3OTQyOC4xNzYwMzc2NTg0*_ga*MjExNDgzNDk1Ni4xNzYyMzY5NzM3*_ga_7C6N0WZ5Q3*czE3NjI0NTUyNDEkbzE2NSRnMSR0MTc2MjQ1NjY5MSRqMTgkbDAkaDA" TargetMode="External"/><Relationship Id="rId443" Type="http://schemas.openxmlformats.org/officeDocument/2006/relationships/hyperlink" Target="https://www.linkedin.com/in/pablo-luparello-54423b53/?_gl=1*1rexnss*_gcl_au*MTM3Nzk3OTQyOC4xNzYwMzc2NTg0*_ga*MjExNDgzNDk1Ni4xNzYyMzY5NzM3*_ga_7C6N0WZ5Q3*czE3NjUyOTk5NjckbzIxMiRnMSR0MTc2NTMwMjAyNCRqNjAkbDAkaDA" TargetMode="External"/><Relationship Id="rId650" Type="http://schemas.openxmlformats.org/officeDocument/2006/relationships/hyperlink" Target="https://www.linkedin.com/in/jonatan-espa%C3%B1on-768837157/" TargetMode="External"/><Relationship Id="rId303" Type="http://schemas.openxmlformats.org/officeDocument/2006/relationships/hyperlink" Target="https://www.linkedin.com/in/julio-ariel-z%C3%A1rate-60086b38/?_gl=1*ohp7tv*_gcl_au*MTM3Nzk3OTQyOC4xNzYwMzc2NTg0*_ga*MjExNDgzNDk1Ni4xNzYyMzY5NzM3*_ga_7C6N0WZ5Q3*czE3NjI5NTE3NTkkbzE3NyRnMSR0MTc2Mjk1NzIyMSRqNTckbDAkaDA" TargetMode="External"/><Relationship Id="rId748" Type="http://schemas.openxmlformats.org/officeDocument/2006/relationships/hyperlink" Target="https://www.linkedin.com/in/bruno-conti-1b4a7417/" TargetMode="External"/><Relationship Id="rId84" Type="http://schemas.openxmlformats.org/officeDocument/2006/relationships/hyperlink" Target="mailto:rcarvajal@edemsa.com" TargetMode="External"/><Relationship Id="rId387" Type="http://schemas.openxmlformats.org/officeDocument/2006/relationships/hyperlink" Target="https://www.linkedin.com/in/lucas-g%C3%B3mez-had-68171b1a/" TargetMode="External"/><Relationship Id="rId510" Type="http://schemas.openxmlformats.org/officeDocument/2006/relationships/hyperlink" Target="https://www.linkedin.com/in/jorgebenzaquen/" TargetMode="External"/><Relationship Id="rId594" Type="http://schemas.openxmlformats.org/officeDocument/2006/relationships/hyperlink" Target="https://www.linkedin.com/in/rodrigo-andres-fuentes-mu%C3%B1oz-579a2b15/" TargetMode="External"/><Relationship Id="rId608" Type="http://schemas.openxmlformats.org/officeDocument/2006/relationships/hyperlink" Target="https://www.linkedin.com/in/franciscopreusche/?_gl=1*fb0o45*_gcl_au*MTM3Nzk3OTQyOC4xNzYwMzc2NTg0*_ga*MjExNDgzNDk1Ni4xNzYyMzY5NzM3*_ga_7C6N0WZ5Q3*czE3NjU4MjQzMDkkbzIxOSRnMSR0MTc2NTgyNzY5NCRqNjAkbDAkaDA" TargetMode="External"/><Relationship Id="rId815" Type="http://schemas.openxmlformats.org/officeDocument/2006/relationships/hyperlink" Target="https://www.linkedin.com/in/dafne-debuchy-95b81924/" TargetMode="External"/><Relationship Id="rId247" Type="http://schemas.openxmlformats.org/officeDocument/2006/relationships/hyperlink" Target="https://www.linkedin.com/in/pablo-angel-moreno-83011953/" TargetMode="External"/><Relationship Id="rId107" Type="http://schemas.openxmlformats.org/officeDocument/2006/relationships/hyperlink" Target="mailto:mperez@lagaceta.com.ar" TargetMode="External"/><Relationship Id="rId454" Type="http://schemas.openxmlformats.org/officeDocument/2006/relationships/hyperlink" Target="https://www.linkedin.com/in/juan-larsen-030170150/" TargetMode="External"/><Relationship Id="rId661" Type="http://schemas.openxmlformats.org/officeDocument/2006/relationships/hyperlink" Target="mailto:lmarchant@flacso.org.ar" TargetMode="External"/><Relationship Id="rId759" Type="http://schemas.openxmlformats.org/officeDocument/2006/relationships/hyperlink" Target="https://www.linkedin.com/in/lulomba13101974/" TargetMode="External"/><Relationship Id="rId11" Type="http://schemas.openxmlformats.org/officeDocument/2006/relationships/hyperlink" Target="mailto:hortega@mendoza.edu.ar" TargetMode="External"/><Relationship Id="rId314" Type="http://schemas.openxmlformats.org/officeDocument/2006/relationships/hyperlink" Target="mailto:acesar@systel.com.ar" TargetMode="External"/><Relationship Id="rId398" Type="http://schemas.openxmlformats.org/officeDocument/2006/relationships/hyperlink" Target="https://www.linkedin.com/in/emanuel-lucas-delfino-704415170/" TargetMode="External"/><Relationship Id="rId521" Type="http://schemas.openxmlformats.org/officeDocument/2006/relationships/hyperlink" Target="https://www.linkedin.com/in/hernan-aochar-b7b36918/" TargetMode="External"/><Relationship Id="rId619" Type="http://schemas.openxmlformats.org/officeDocument/2006/relationships/hyperlink" Target="https://www.linkedin.com/in/natalia-avila-136aa7103/?_gl=1*mrd0wz*_gcl_au*MTM3Nzk3OTQyOC4xNzYwMzc2NTg0*_ga*MjExNDgzNDk1Ni4xNzYyMzY5NzM3*_ga_7C6N0WZ5Q3*czE3NjU4MjQzMDkkbzIxOSRnMSR0MTc2NTgyOTQ3OSRqNDUkbDAkaDA" TargetMode="External"/><Relationship Id="rId95" Type="http://schemas.openxmlformats.org/officeDocument/2006/relationships/hyperlink" Target="https://www.linkedin.com/in/mauricio-guill%C3%A9n-bautista-108441305?lipi=urn%3Ali%3Apage%3Ad_flagship3_profile_view_base_contact_details%3BHDs3j5OiRPaL7s7J%2By7uEQ%3D%3D" TargetMode="External"/><Relationship Id="rId160" Type="http://schemas.openxmlformats.org/officeDocument/2006/relationships/hyperlink" Target="mailto:gonzalo.sarmiento@verallia.com" TargetMode="External"/><Relationship Id="rId258" Type="http://schemas.openxmlformats.org/officeDocument/2006/relationships/hyperlink" Target="https://www.linkedin.com/in/javier-polimeni-9a065115/?_gl=1*1ekst30*_gcl_au*MTM3Nzk3OTQyOC4xNzYwMzc2NTg0*_ga*MjExNDgzNDk1Ni4xNzYyMzY5NzM3*_ga_7C6N0WZ5Q3*czE3NjI3ODMxMDckbzE3MSRnMSR0MTc2Mjc4NTYyNiRqMjckbDAkaDA" TargetMode="External"/><Relationship Id="rId465" Type="http://schemas.openxmlformats.org/officeDocument/2006/relationships/hyperlink" Target="https://www.linkedin.com/in/maurobornacin/?_gl=1*ozcn6k*_gcl_au*MTM3Nzk3OTQyOC4xNzYwMzc2NTg0*_ga*MjExNDgzNDk1Ni4xNzYyMzY5NzM3*_ga_7C6N0WZ5Q3*czE3NjUzNzExOTgkbzIxMyRnMSR0MTc2NTM3NTkwNCRqNTQkbDAkaDA" TargetMode="External"/><Relationship Id="rId672" Type="http://schemas.openxmlformats.org/officeDocument/2006/relationships/hyperlink" Target="https://www.linkedin.com/in/pablo-c-56826114/" TargetMode="External"/><Relationship Id="rId22" Type="http://schemas.openxmlformats.org/officeDocument/2006/relationships/hyperlink" Target="https://www.linkedin.com/in/diego-zintak/" TargetMode="External"/><Relationship Id="rId118" Type="http://schemas.openxmlformats.org/officeDocument/2006/relationships/hyperlink" Target="https://www.linkedin.com/in/damian-rovati-961421203?lipi=urn%3Ali%3Apage%3Ad_flagship3_profile_view_base_contact_details%3BufU2oAPURqGdSrYRVN71Rw%3D%3D" TargetMode="External"/><Relationship Id="rId325" Type="http://schemas.openxmlformats.org/officeDocument/2006/relationships/hyperlink" Target="mailto:sfiorani@teknal.com.ar" TargetMode="External"/><Relationship Id="rId532" Type="http://schemas.openxmlformats.org/officeDocument/2006/relationships/hyperlink" Target="https://www.linkedin.com/in/fernandobalanda/" TargetMode="External"/><Relationship Id="rId171" Type="http://schemas.openxmlformats.org/officeDocument/2006/relationships/hyperlink" Target="https://www.linkedin.com/in/daniel-courtade-4b7895108/?_gl=1*xl1om5*_gcl_au*MTM3Nzk3OTQyOC4xNzYwMzc2NTg0*_ga*NjEwNDgwNDEzLjE3NTkyNDAzNTk.*_ga_7C6N0WZ5Q3*czE3NjE2NTU0MjckbzE0NiRnMSR0MTc2MTY3MjA0NSRqNjAkbDAkaDA" TargetMode="External"/><Relationship Id="rId269" Type="http://schemas.openxmlformats.org/officeDocument/2006/relationships/hyperlink" Target="https://www.linkedin.com/in/jorge-petrocelli-56295715/?_gl=1*3lbxgh*_gcl_au*MTM3Nzk3OTQyOC4xNzYwMzc2NTg0*_ga*MjExNDgzNDk1Ni4xNzYyMzY5NzM3*_ga_7C6N0WZ5Q3*czE3NjI3ODc2NTEkbzE3MiRnMSR0MTc2Mjc4Nzk0OSRqMjAkbDAkaDA" TargetMode="External"/><Relationship Id="rId476" Type="http://schemas.openxmlformats.org/officeDocument/2006/relationships/hyperlink" Target="https://www.linkedin.com/in/gaston-bode-95004b1a5/" TargetMode="External"/><Relationship Id="rId683" Type="http://schemas.openxmlformats.org/officeDocument/2006/relationships/hyperlink" Target="https://www.linkedin.com/in/julio-sapia-a1a854/" TargetMode="External"/><Relationship Id="rId33" Type="http://schemas.openxmlformats.org/officeDocument/2006/relationships/hyperlink" Target="https://www.linkedin.com/in/diego-kaen?_gl=1*1iwm1w*_gcl_au*MTM3Nzk3OTQyOC4xNzYwMzc2NTg0*_ga*NjEwNDgwNDEzLjE3NTkyNDAzNTk.*_ga_7C6N0WZ5Q3*czE3NjExNDY1OTUkbzEzNiRnMSR0MTc2MTE0ODEwMSRqNjAkbDAkaDA" TargetMode="External"/><Relationship Id="rId129" Type="http://schemas.openxmlformats.org/officeDocument/2006/relationships/hyperlink" Target="mailto:juan.molina@grupobimbo.com" TargetMode="External"/><Relationship Id="rId336" Type="http://schemas.openxmlformats.org/officeDocument/2006/relationships/hyperlink" Target="https://www.linkedin.com/in/sergiobaltazar?lipi=urn%3Ali%3Apage%3Ad_flagship3_profile_view_base_contact_details%3BHd4v3npqTL2b6NPD%2BDVvNw%3D%3D" TargetMode="External"/><Relationship Id="rId543" Type="http://schemas.openxmlformats.org/officeDocument/2006/relationships/hyperlink" Target="https://www.linkedin.com/in/leandro-estrada-01bb8730/" TargetMode="External"/><Relationship Id="rId182" Type="http://schemas.openxmlformats.org/officeDocument/2006/relationships/hyperlink" Target="mailto:jesus.morales@celerinternet.com" TargetMode="External"/><Relationship Id="rId403" Type="http://schemas.openxmlformats.org/officeDocument/2006/relationships/hyperlink" Target="https://www.linkedin.com/in/francisco-robino-0a03aa203/" TargetMode="External"/><Relationship Id="rId750" Type="http://schemas.openxmlformats.org/officeDocument/2006/relationships/hyperlink" Target="mailto:adrian.eidelstein@ar.mcd.com" TargetMode="External"/><Relationship Id="rId487" Type="http://schemas.openxmlformats.org/officeDocument/2006/relationships/hyperlink" Target="https://www.linkedin.com/in/juanlamberghini/?_gl=1*165qpev*_gcl_au*MTM3Nzk3OTQyOC4xNzYwMzc2NTg0*_ga*MjExNDgzNDk1Ni4xNzYyMzY5NzM3*_ga_7C6N0WZ5Q3*czE3NjUzODY3OTAkbzIxNCRnMSR0MTc2NTM4NzA1NyRqNTckbDAkaDA" TargetMode="External"/><Relationship Id="rId610" Type="http://schemas.openxmlformats.org/officeDocument/2006/relationships/hyperlink" Target="https://www.linkedin.com/in/jose-garcia-5b290458/" TargetMode="External"/><Relationship Id="rId694" Type="http://schemas.openxmlformats.org/officeDocument/2006/relationships/hyperlink" Target="https://www.linkedin.com/in/ver%C3%B3nica-brand%C3%A1n-34b79627/" TargetMode="External"/><Relationship Id="rId708" Type="http://schemas.openxmlformats.org/officeDocument/2006/relationships/hyperlink" Target="https://www.linkedin.com/in/federicoericorciani/?_gl=1*1m4lrns*_gcl_au*MTAxMjYxODkuMTc2ODMxMTQ3Nw..*_ga*MjExNDgzNDk1Ni4xNzYyMzY5NzM3*_ga_7C6N0WZ5Q3*czE3Njg5MTU4NDEkbzIzNyRnMSR0MTc2ODkxNjgzMSRqNTQkbDAkaDA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evernex.lightning.force.com/lightning/r/Lead/00Qci00000AY8a5EAD/view" TargetMode="External"/><Relationship Id="rId7" Type="http://schemas.openxmlformats.org/officeDocument/2006/relationships/table" Target="../tables/table9.xml"/><Relationship Id="rId2" Type="http://schemas.openxmlformats.org/officeDocument/2006/relationships/hyperlink" Target="https://evernex.lightning.force.com/lightning/r/Lead/00Qci00000AY6zhEAD/view" TargetMode="External"/><Relationship Id="rId1" Type="http://schemas.openxmlformats.org/officeDocument/2006/relationships/hyperlink" Target="https://evernex.lightning.force.com/lightning/r/Lead/00Qci00000AY5ltEAD/view" TargetMode="External"/><Relationship Id="rId6" Type="http://schemas.openxmlformats.org/officeDocument/2006/relationships/hyperlink" Target="https://evernex.lightning.force.com/lightning/r/Lead/00Qci00000Amk2oEAB/view" TargetMode="External"/><Relationship Id="rId5" Type="http://schemas.openxmlformats.org/officeDocument/2006/relationships/hyperlink" Target="https://evernex.lightning.force.com/lightning/r/Lead/00Qci00000Ad3ebEAB/view" TargetMode="External"/><Relationship Id="rId4" Type="http://schemas.openxmlformats.org/officeDocument/2006/relationships/hyperlink" Target="https://evernex.lightning.force.com/lightning/r/Lead/00Qci00000AaiO9EAJ/view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gustavo-comeglio-11296317?lipi=urn%3Ali%3Apage%3Ad_flagship3_profile_view_base_contact_details%3BA9bR9ruKSc%2B0b0%2FXx1DHXw%3D%3D" TargetMode="External"/><Relationship Id="rId13" Type="http://schemas.openxmlformats.org/officeDocument/2006/relationships/hyperlink" Target="mailto:andres.garay@celerinternet.com" TargetMode="External"/><Relationship Id="rId18" Type="http://schemas.openxmlformats.org/officeDocument/2006/relationships/hyperlink" Target="mailto:cotac@acueductoscentro.com.ar" TargetMode="External"/><Relationship Id="rId3" Type="http://schemas.openxmlformats.org/officeDocument/2006/relationships/hyperlink" Target="mailto:ogutierr@uncu.edu.ar" TargetMode="External"/><Relationship Id="rId21" Type="http://schemas.openxmlformats.org/officeDocument/2006/relationships/table" Target="../tables/table10.xml"/><Relationship Id="rId7" Type="http://schemas.openxmlformats.org/officeDocument/2006/relationships/hyperlink" Target="mailto:gcomeglio@mdzol.com" TargetMode="External"/><Relationship Id="rId12" Type="http://schemas.openxmlformats.org/officeDocument/2006/relationships/hyperlink" Target="https://www.linkedin.com/in/enrique-garro-31760223/" TargetMode="External"/><Relationship Id="rId17" Type="http://schemas.openxmlformats.org/officeDocument/2006/relationships/hyperlink" Target="https://www.linkedin.com/in/carlos-juarez-99b50a14/" TargetMode="External"/><Relationship Id="rId2" Type="http://schemas.openxmlformats.org/officeDocument/2006/relationships/hyperlink" Target="https://www.linkedin.com/in/sonia-do%C3%B1a-3b939379?_gl=1*lzp0k2*_gcl_au*MTM3Nzk3OTQyOC4xNzYwMzc2NTg0*_ga*NjEwNDgwNDEzLjE3NTkyNDAzNTk.*_ga_7C6N0WZ5Q3*czE3NjExNDY1OTUkbzEzNiRnMSR0MTc2MTE0ODEwMSRqNjAkbDAkaDA" TargetMode="External"/><Relationship Id="rId16" Type="http://schemas.openxmlformats.org/officeDocument/2006/relationships/hyperlink" Target="https://www.linkedin.com/in/maximiliano-van-messem-28a72423/" TargetMode="External"/><Relationship Id="rId20" Type="http://schemas.openxmlformats.org/officeDocument/2006/relationships/hyperlink" Target="https://www.linkedin.com/in/fernando-santiago-rossi-272816a9/" TargetMode="External"/><Relationship Id="rId1" Type="http://schemas.openxmlformats.org/officeDocument/2006/relationships/hyperlink" Target="mailto:sdona@epec.com.ar" TargetMode="External"/><Relationship Id="rId6" Type="http://schemas.openxmlformats.org/officeDocument/2006/relationships/hyperlink" Target="https://www.linkedin.com/in/fabricioaffar?lipi=urn%3Ali%3Apage%3Ad_flagship3_profile_view_base_contact_details%3BuFQGH6SoQLu39H8F3mugnA%3D%3D" TargetMode="External"/><Relationship Id="rId11" Type="http://schemas.openxmlformats.org/officeDocument/2006/relationships/hyperlink" Target="mailto:enrique_garro@inv.gov.ar" TargetMode="External"/><Relationship Id="rId5" Type="http://schemas.openxmlformats.org/officeDocument/2006/relationships/hyperlink" Target="mailto:fabricio.affar@um.edu.ar" TargetMode="External"/><Relationship Id="rId15" Type="http://schemas.openxmlformats.org/officeDocument/2006/relationships/hyperlink" Target="mailto:pablo.gonzalez@bp-sa.com.ar" TargetMode="External"/><Relationship Id="rId10" Type="http://schemas.openxmlformats.org/officeDocument/2006/relationships/hyperlink" Target="https://www.linkedin.com/in/facundo-bachin-0aa7051a0/" TargetMode="External"/><Relationship Id="rId19" Type="http://schemas.openxmlformats.org/officeDocument/2006/relationships/hyperlink" Target="mailto:sistemas@lanuevaseguros.com.ar" TargetMode="External"/><Relationship Id="rId4" Type="http://schemas.openxmlformats.org/officeDocument/2006/relationships/hyperlink" Target="https://www.linkedin.com/in/omar-gutierrez-55685a117?lipi=urn%3Ali%3Apage%3Ad_flagship3_profile_view_base_contact_details%3Bp5duej0QQ42W9EUmgsuVrA%3D%3D" TargetMode="External"/><Relationship Id="rId9" Type="http://schemas.openxmlformats.org/officeDocument/2006/relationships/hyperlink" Target="https://www.linkedin.com/in/julioalvarez75/" TargetMode="External"/><Relationship Id="rId14" Type="http://schemas.openxmlformats.org/officeDocument/2006/relationships/hyperlink" Target="https://www.linkedin.com/in/andres-garay-83529216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O405"/>
  <sheetViews>
    <sheetView tabSelected="1" workbookViewId="0">
      <selection activeCell="O1" sqref="O1"/>
    </sheetView>
  </sheetViews>
  <sheetFormatPr defaultColWidth="17.28515625" defaultRowHeight="17.25" customHeight="1"/>
  <cols>
    <col min="1" max="1" width="5.85546875" style="11" customWidth="1"/>
    <col min="2" max="2" width="25.5703125" style="11" customWidth="1"/>
    <col min="3" max="3" width="16.140625" style="11" customWidth="1"/>
    <col min="4" max="4" width="13.85546875" style="11" customWidth="1"/>
    <col min="5" max="5" width="15.85546875" style="11" customWidth="1"/>
    <col min="6" max="6" width="9.140625" style="11" customWidth="1"/>
    <col min="7" max="7" width="11.85546875" style="11" customWidth="1"/>
    <col min="8" max="8" width="11.42578125" style="11" customWidth="1"/>
    <col min="9" max="9" width="9.140625" style="11" customWidth="1"/>
    <col min="10" max="10" width="13.5703125" style="11" customWidth="1"/>
    <col min="11" max="11" width="22.140625" style="15" customWidth="1"/>
    <col min="12" max="12" width="10" style="11" customWidth="1"/>
    <col min="13" max="13" width="14.42578125" style="11" customWidth="1"/>
    <col min="14" max="14" width="13.5703125" style="11" customWidth="1"/>
    <col min="15" max="15" width="17.28515625" style="11" customWidth="1"/>
    <col min="16" max="16384" width="17.28515625" style="11"/>
  </cols>
  <sheetData>
    <row r="1" spans="1:15" s="17" customFormat="1" ht="17.25" customHeight="1">
      <c r="A1" s="17" t="s">
        <v>3425</v>
      </c>
      <c r="B1" s="17" t="s">
        <v>2</v>
      </c>
      <c r="C1" s="17" t="s">
        <v>3426</v>
      </c>
      <c r="D1" s="17" t="s">
        <v>3427</v>
      </c>
      <c r="E1" s="17" t="s">
        <v>3428</v>
      </c>
      <c r="F1" s="17" t="s">
        <v>3429</v>
      </c>
      <c r="G1" s="17" t="s">
        <v>3430</v>
      </c>
      <c r="H1" s="17" t="s">
        <v>3431</v>
      </c>
      <c r="I1" s="17" t="s">
        <v>3432</v>
      </c>
      <c r="J1" s="17" t="s">
        <v>3433</v>
      </c>
      <c r="K1" s="14" t="s">
        <v>3434</v>
      </c>
      <c r="L1" s="17" t="s">
        <v>3435</v>
      </c>
      <c r="M1" s="17" t="s">
        <v>3436</v>
      </c>
      <c r="N1" s="17" t="s">
        <v>3437</v>
      </c>
      <c r="O1" s="17" t="s">
        <v>3438</v>
      </c>
    </row>
    <row r="2" spans="1:15" ht="25.5" customHeight="1">
      <c r="A2" s="11" t="str">
        <f t="shared" ref="A2:A65" si="0">_xlfn.CONCAT("E",TEXT(ROW()-1,"000"))</f>
        <v>E001</v>
      </c>
      <c r="B2" s="11" t="s">
        <v>12</v>
      </c>
      <c r="C2" s="11" t="s">
        <v>4023</v>
      </c>
      <c r="D2" s="11" t="s">
        <v>3440</v>
      </c>
      <c r="E2" s="11" t="s">
        <v>3441</v>
      </c>
      <c r="F2" s="11" t="s">
        <v>3441</v>
      </c>
      <c r="G2" s="11" t="s">
        <v>3442</v>
      </c>
      <c r="H2" s="11" t="s">
        <v>3443</v>
      </c>
      <c r="I2" s="11" t="s">
        <v>3444</v>
      </c>
      <c r="J2" s="11" t="s">
        <v>4038</v>
      </c>
    </row>
    <row r="3" spans="1:15" ht="17.25" customHeight="1">
      <c r="A3" s="11" t="str">
        <f t="shared" si="0"/>
        <v>E002</v>
      </c>
      <c r="B3" s="11" t="s">
        <v>35</v>
      </c>
      <c r="C3" s="11" t="s">
        <v>4023</v>
      </c>
      <c r="D3" s="11" t="s">
        <v>3440</v>
      </c>
      <c r="E3" s="11" t="s">
        <v>3441</v>
      </c>
      <c r="F3" s="11" t="s">
        <v>3441</v>
      </c>
      <c r="G3" s="11" t="s">
        <v>3446</v>
      </c>
      <c r="H3" s="11" t="s">
        <v>3443</v>
      </c>
      <c r="I3" s="11" t="s">
        <v>3444</v>
      </c>
      <c r="J3" s="11" t="s">
        <v>4038</v>
      </c>
    </row>
    <row r="4" spans="1:15" ht="17.25" customHeight="1">
      <c r="A4" s="11" t="str">
        <f t="shared" si="0"/>
        <v>E003</v>
      </c>
      <c r="B4" s="11" t="s">
        <v>49</v>
      </c>
      <c r="C4" s="11" t="s">
        <v>4024</v>
      </c>
      <c r="D4" s="11" t="s">
        <v>3440</v>
      </c>
      <c r="E4" s="11" t="s">
        <v>3448</v>
      </c>
      <c r="F4" s="11" t="s">
        <v>3449</v>
      </c>
      <c r="G4" s="11" t="s">
        <v>3442</v>
      </c>
      <c r="H4" s="11" t="s">
        <v>3443</v>
      </c>
      <c r="I4" s="11" t="s">
        <v>3444</v>
      </c>
      <c r="J4" s="11" t="s">
        <v>4038</v>
      </c>
    </row>
    <row r="5" spans="1:15" ht="17.25" customHeight="1">
      <c r="A5" s="11" t="str">
        <f t="shared" si="0"/>
        <v>E004</v>
      </c>
      <c r="B5" s="11" t="s">
        <v>78</v>
      </c>
      <c r="C5" s="11" t="s">
        <v>4025</v>
      </c>
      <c r="D5" s="11" t="s">
        <v>3440</v>
      </c>
      <c r="E5" s="11" t="s">
        <v>3441</v>
      </c>
      <c r="F5" s="11" t="s">
        <v>3441</v>
      </c>
      <c r="G5" s="11" t="s">
        <v>3446</v>
      </c>
      <c r="H5" s="11" t="s">
        <v>3443</v>
      </c>
      <c r="I5" s="11" t="s">
        <v>3444</v>
      </c>
      <c r="J5" s="11" t="s">
        <v>4038</v>
      </c>
    </row>
    <row r="6" spans="1:15" ht="17.25" customHeight="1">
      <c r="A6" s="11" t="str">
        <f t="shared" si="0"/>
        <v>E005</v>
      </c>
      <c r="B6" s="11" t="s">
        <v>166</v>
      </c>
      <c r="C6" s="11" t="s">
        <v>4024</v>
      </c>
      <c r="D6" s="11" t="s">
        <v>3440</v>
      </c>
      <c r="E6" s="11" t="s">
        <v>3451</v>
      </c>
      <c r="F6" s="11" t="s">
        <v>3452</v>
      </c>
      <c r="G6" s="11" t="s">
        <v>3446</v>
      </c>
      <c r="H6" s="11" t="s">
        <v>3443</v>
      </c>
      <c r="I6" s="11" t="s">
        <v>3444</v>
      </c>
      <c r="J6" s="11" t="s">
        <v>4038</v>
      </c>
    </row>
    <row r="7" spans="1:15" ht="17.25" customHeight="1">
      <c r="A7" s="11" t="str">
        <f t="shared" si="0"/>
        <v>E006</v>
      </c>
      <c r="B7" s="11" t="s">
        <v>186</v>
      </c>
      <c r="C7" s="11" t="s">
        <v>4025</v>
      </c>
      <c r="D7" s="11" t="s">
        <v>3440</v>
      </c>
      <c r="E7" s="11" t="s">
        <v>3441</v>
      </c>
      <c r="F7" s="11" t="s">
        <v>3441</v>
      </c>
      <c r="G7" s="11" t="s">
        <v>3446</v>
      </c>
      <c r="H7" s="11" t="s">
        <v>3443</v>
      </c>
      <c r="I7" s="11" t="s">
        <v>3444</v>
      </c>
      <c r="J7" s="11" t="s">
        <v>4038</v>
      </c>
    </row>
    <row r="8" spans="1:15" ht="17.25" customHeight="1">
      <c r="A8" s="11" t="str">
        <f t="shared" si="0"/>
        <v>E007</v>
      </c>
      <c r="B8" s="11" t="s">
        <v>196</v>
      </c>
      <c r="C8" s="11" t="s">
        <v>4023</v>
      </c>
      <c r="D8" s="11" t="s">
        <v>3440</v>
      </c>
      <c r="E8" s="11" t="s">
        <v>3441</v>
      </c>
      <c r="F8" s="11" t="s">
        <v>3441</v>
      </c>
      <c r="G8" s="11" t="s">
        <v>3446</v>
      </c>
      <c r="H8" s="11" t="s">
        <v>3443</v>
      </c>
      <c r="I8" s="11" t="s">
        <v>3444</v>
      </c>
      <c r="J8" s="11" t="s">
        <v>4038</v>
      </c>
    </row>
    <row r="9" spans="1:15" ht="17.25" customHeight="1">
      <c r="A9" s="11" t="str">
        <f t="shared" si="0"/>
        <v>E008</v>
      </c>
      <c r="B9" s="11" t="s">
        <v>206</v>
      </c>
      <c r="C9" s="11" t="s">
        <v>4026</v>
      </c>
      <c r="D9" s="11" t="s">
        <v>3440</v>
      </c>
      <c r="E9" s="11" t="s">
        <v>3451</v>
      </c>
      <c r="F9" s="11" t="s">
        <v>3452</v>
      </c>
      <c r="G9" s="11" t="s">
        <v>3446</v>
      </c>
      <c r="H9" s="11" t="s">
        <v>3443</v>
      </c>
      <c r="I9" s="11" t="s">
        <v>3444</v>
      </c>
      <c r="J9" s="11" t="s">
        <v>4038</v>
      </c>
    </row>
    <row r="10" spans="1:15" ht="17.25" customHeight="1">
      <c r="A10" s="11" t="str">
        <f t="shared" si="0"/>
        <v>E009</v>
      </c>
      <c r="B10" s="11" t="s">
        <v>222</v>
      </c>
      <c r="C10" s="11" t="s">
        <v>4024</v>
      </c>
      <c r="D10" s="11" t="s">
        <v>3440</v>
      </c>
      <c r="E10" s="11" t="s">
        <v>3448</v>
      </c>
      <c r="F10" s="11" t="s">
        <v>3449</v>
      </c>
      <c r="G10" s="11" t="s">
        <v>3442</v>
      </c>
      <c r="H10" s="11" t="s">
        <v>3443</v>
      </c>
      <c r="I10" s="11" t="s">
        <v>3444</v>
      </c>
      <c r="J10" s="11" t="s">
        <v>4038</v>
      </c>
    </row>
    <row r="11" spans="1:15" ht="17.25" customHeight="1">
      <c r="A11" s="11" t="str">
        <f t="shared" si="0"/>
        <v>E010</v>
      </c>
      <c r="B11" s="11" t="s">
        <v>35</v>
      </c>
      <c r="C11" s="11" t="s">
        <v>4029</v>
      </c>
      <c r="D11" s="11" t="s">
        <v>3440</v>
      </c>
      <c r="E11" s="11" t="s">
        <v>3441</v>
      </c>
      <c r="F11" s="11" t="s">
        <v>3441</v>
      </c>
      <c r="G11" s="11" t="s">
        <v>3446</v>
      </c>
      <c r="H11" s="11" t="s">
        <v>3443</v>
      </c>
      <c r="I11" s="11" t="s">
        <v>3444</v>
      </c>
      <c r="J11" s="11" t="s">
        <v>4038</v>
      </c>
    </row>
    <row r="12" spans="1:15" ht="17.25" customHeight="1">
      <c r="A12" s="11" t="str">
        <f t="shared" si="0"/>
        <v>E011</v>
      </c>
      <c r="B12" s="11" t="s">
        <v>262</v>
      </c>
      <c r="C12" s="11" t="s">
        <v>4025</v>
      </c>
      <c r="D12" s="11" t="s">
        <v>3440</v>
      </c>
      <c r="E12" s="11" t="s">
        <v>3441</v>
      </c>
      <c r="F12" s="11" t="s">
        <v>3441</v>
      </c>
      <c r="G12" s="11" t="s">
        <v>3455</v>
      </c>
      <c r="H12" s="11" t="s">
        <v>3443</v>
      </c>
      <c r="I12" s="11" t="s">
        <v>3444</v>
      </c>
      <c r="J12" s="11" t="s">
        <v>4038</v>
      </c>
    </row>
    <row r="13" spans="1:15" ht="17.25" customHeight="1">
      <c r="A13" s="11" t="str">
        <f t="shared" si="0"/>
        <v>E012</v>
      </c>
      <c r="B13" s="11" t="s">
        <v>272</v>
      </c>
      <c r="C13" s="11" t="s">
        <v>4025</v>
      </c>
      <c r="D13" s="11" t="s">
        <v>3440</v>
      </c>
      <c r="E13" s="11" t="s">
        <v>3441</v>
      </c>
      <c r="F13" s="11" t="s">
        <v>3441</v>
      </c>
      <c r="G13" s="11" t="s">
        <v>3442</v>
      </c>
      <c r="H13" s="11" t="s">
        <v>3443</v>
      </c>
      <c r="I13" s="11" t="s">
        <v>3444</v>
      </c>
      <c r="J13" s="11" t="s">
        <v>4038</v>
      </c>
    </row>
    <row r="14" spans="1:15" ht="17.25" customHeight="1">
      <c r="A14" s="11" t="str">
        <f t="shared" si="0"/>
        <v>E013</v>
      </c>
      <c r="B14" s="11" t="s">
        <v>293</v>
      </c>
      <c r="C14" s="11" t="s">
        <v>4026</v>
      </c>
      <c r="D14" s="11" t="s">
        <v>3440</v>
      </c>
      <c r="E14" s="11" t="s">
        <v>3441</v>
      </c>
      <c r="F14" s="11" t="s">
        <v>3441</v>
      </c>
      <c r="G14" s="11" t="s">
        <v>3442</v>
      </c>
      <c r="H14" s="11" t="s">
        <v>3443</v>
      </c>
      <c r="I14" s="11" t="s">
        <v>3444</v>
      </c>
      <c r="J14" s="11" t="s">
        <v>4038</v>
      </c>
    </row>
    <row r="15" spans="1:15" ht="17.25" customHeight="1">
      <c r="A15" s="11" t="str">
        <f t="shared" si="0"/>
        <v>E014</v>
      </c>
      <c r="B15" s="11" t="s">
        <v>78</v>
      </c>
      <c r="C15" s="11" t="s">
        <v>4027</v>
      </c>
      <c r="D15" s="11" t="s">
        <v>3440</v>
      </c>
      <c r="E15" s="11" t="s">
        <v>3448</v>
      </c>
      <c r="F15" s="11" t="s">
        <v>3449</v>
      </c>
      <c r="G15" s="11" t="s">
        <v>3442</v>
      </c>
      <c r="H15" s="11" t="s">
        <v>3443</v>
      </c>
      <c r="I15" s="11" t="s">
        <v>3444</v>
      </c>
      <c r="J15" s="11" t="s">
        <v>4038</v>
      </c>
    </row>
    <row r="16" spans="1:15" ht="17.25" customHeight="1">
      <c r="A16" s="11" t="str">
        <f t="shared" si="0"/>
        <v>E015</v>
      </c>
      <c r="B16" s="11" t="s">
        <v>317</v>
      </c>
      <c r="C16" s="11" t="s">
        <v>4024</v>
      </c>
      <c r="D16" s="11" t="s">
        <v>3440</v>
      </c>
      <c r="E16" s="11" t="s">
        <v>3448</v>
      </c>
      <c r="F16" s="11" t="s">
        <v>3449</v>
      </c>
      <c r="G16" s="11" t="s">
        <v>3442</v>
      </c>
      <c r="H16" s="11" t="s">
        <v>3443</v>
      </c>
      <c r="I16" s="11" t="s">
        <v>3444</v>
      </c>
      <c r="J16" s="11" t="s">
        <v>4038</v>
      </c>
    </row>
    <row r="17" spans="1:11" ht="17.25" customHeight="1">
      <c r="A17" s="11" t="str">
        <f t="shared" si="0"/>
        <v>E016</v>
      </c>
      <c r="B17" s="11" t="s">
        <v>328</v>
      </c>
      <c r="C17" s="11" t="s">
        <v>3457</v>
      </c>
      <c r="D17" s="11" t="s">
        <v>3440</v>
      </c>
      <c r="E17" s="11" t="s">
        <v>3441</v>
      </c>
      <c r="F17" s="11" t="s">
        <v>3441</v>
      </c>
      <c r="G17" s="11" t="s">
        <v>3442</v>
      </c>
      <c r="H17" s="11" t="s">
        <v>3443</v>
      </c>
      <c r="I17" s="11" t="s">
        <v>3444</v>
      </c>
      <c r="J17" s="11" t="s">
        <v>4038</v>
      </c>
    </row>
    <row r="18" spans="1:11" ht="17.25" customHeight="1">
      <c r="A18" s="11" t="str">
        <f t="shared" si="0"/>
        <v>E017</v>
      </c>
      <c r="B18" s="11" t="s">
        <v>340</v>
      </c>
      <c r="C18" s="11" t="s">
        <v>4024</v>
      </c>
      <c r="D18" s="11" t="s">
        <v>3440</v>
      </c>
      <c r="E18" s="11" t="s">
        <v>3458</v>
      </c>
      <c r="F18" s="11" t="s">
        <v>3459</v>
      </c>
      <c r="G18" s="11" t="s">
        <v>3455</v>
      </c>
      <c r="H18" s="11" t="s">
        <v>3443</v>
      </c>
      <c r="I18" s="11" t="s">
        <v>3444</v>
      </c>
      <c r="J18" s="11" t="s">
        <v>4038</v>
      </c>
    </row>
    <row r="19" spans="1:11" ht="17.25" customHeight="1">
      <c r="A19" s="11" t="str">
        <f t="shared" si="0"/>
        <v>E018</v>
      </c>
      <c r="B19" s="11" t="s">
        <v>345</v>
      </c>
      <c r="C19" s="11" t="s">
        <v>4032</v>
      </c>
      <c r="D19" s="11" t="s">
        <v>3440</v>
      </c>
      <c r="E19" s="11" t="s">
        <v>3441</v>
      </c>
      <c r="F19" s="11" t="s">
        <v>3441</v>
      </c>
      <c r="G19" s="11" t="s">
        <v>3442</v>
      </c>
      <c r="H19" s="11" t="s">
        <v>3443</v>
      </c>
      <c r="I19" s="11" t="s">
        <v>3444</v>
      </c>
      <c r="J19" s="11" t="s">
        <v>4038</v>
      </c>
    </row>
    <row r="20" spans="1:11" ht="17.25" customHeight="1">
      <c r="A20" s="11" t="str">
        <f t="shared" si="0"/>
        <v>E019</v>
      </c>
      <c r="B20" s="11" t="s">
        <v>476</v>
      </c>
      <c r="C20" s="11" t="s">
        <v>4027</v>
      </c>
      <c r="D20" t="s">
        <v>3440</v>
      </c>
      <c r="E20" s="11" t="s">
        <v>3441</v>
      </c>
      <c r="F20" s="11" t="s">
        <v>3441</v>
      </c>
      <c r="G20" s="11" t="s">
        <v>3455</v>
      </c>
      <c r="H20" s="11" t="s">
        <v>3443</v>
      </c>
      <c r="I20" s="11" t="s">
        <v>3444</v>
      </c>
      <c r="J20" s="11" t="s">
        <v>4039</v>
      </c>
    </row>
    <row r="21" spans="1:11" ht="17.25" customHeight="1">
      <c r="A21" s="11" t="str">
        <f t="shared" si="0"/>
        <v>E020</v>
      </c>
      <c r="B21" s="11" t="s">
        <v>487</v>
      </c>
      <c r="C21" s="11" t="s">
        <v>3457</v>
      </c>
      <c r="D21" s="11" t="s">
        <v>3440</v>
      </c>
      <c r="E21" s="11" t="s">
        <v>3441</v>
      </c>
      <c r="F21" s="11" t="s">
        <v>3441</v>
      </c>
      <c r="G21" s="11" t="s">
        <v>3442</v>
      </c>
      <c r="H21" s="11" t="s">
        <v>3443</v>
      </c>
      <c r="I21" s="11" t="s">
        <v>3444</v>
      </c>
      <c r="J21" s="11" t="s">
        <v>4038</v>
      </c>
    </row>
    <row r="22" spans="1:11" ht="17.25" customHeight="1">
      <c r="A22" s="11" t="str">
        <f t="shared" si="0"/>
        <v>E021</v>
      </c>
      <c r="B22" s="11" t="s">
        <v>497</v>
      </c>
      <c r="C22" s="11" t="s">
        <v>4024</v>
      </c>
      <c r="D22" s="11" t="s">
        <v>3440</v>
      </c>
      <c r="E22" s="11" t="s">
        <v>3448</v>
      </c>
      <c r="F22" s="11" t="s">
        <v>3449</v>
      </c>
      <c r="G22" s="11" t="s">
        <v>3442</v>
      </c>
      <c r="H22" s="11" t="s">
        <v>3443</v>
      </c>
      <c r="I22" s="11" t="s">
        <v>3444</v>
      </c>
      <c r="J22" s="11" t="s">
        <v>4038</v>
      </c>
    </row>
    <row r="23" spans="1:11" ht="17.25" customHeight="1">
      <c r="A23" s="11" t="str">
        <f t="shared" si="0"/>
        <v>E022</v>
      </c>
      <c r="B23" s="11" t="s">
        <v>510</v>
      </c>
      <c r="C23" s="11" t="s">
        <v>4024</v>
      </c>
      <c r="D23" s="11" t="s">
        <v>3440</v>
      </c>
      <c r="E23" s="11" t="s">
        <v>3462</v>
      </c>
      <c r="F23" s="11" t="s">
        <v>3463</v>
      </c>
      <c r="G23" s="11" t="s">
        <v>3442</v>
      </c>
      <c r="H23" s="11" t="s">
        <v>3443</v>
      </c>
      <c r="I23" s="11" t="s">
        <v>3444</v>
      </c>
      <c r="J23" s="11" t="s">
        <v>4039</v>
      </c>
    </row>
    <row r="24" spans="1:11" ht="17.25" customHeight="1">
      <c r="A24" s="11" t="str">
        <f t="shared" si="0"/>
        <v>E023</v>
      </c>
      <c r="B24" s="11" t="s">
        <v>547</v>
      </c>
      <c r="C24" s="11" t="s">
        <v>4024</v>
      </c>
      <c r="D24" s="11" t="s">
        <v>3440</v>
      </c>
      <c r="E24" s="11" t="s">
        <v>3441</v>
      </c>
      <c r="F24" s="11" t="s">
        <v>3441</v>
      </c>
      <c r="G24" s="11" t="s">
        <v>3446</v>
      </c>
      <c r="H24" s="11" t="s">
        <v>3443</v>
      </c>
      <c r="I24" s="11" t="s">
        <v>3444</v>
      </c>
      <c r="J24" s="11" t="s">
        <v>4038</v>
      </c>
    </row>
    <row r="25" spans="1:11" ht="17.25" customHeight="1">
      <c r="A25" s="11" t="str">
        <f t="shared" si="0"/>
        <v>E024</v>
      </c>
      <c r="B25" s="11" t="s">
        <v>610</v>
      </c>
      <c r="C25" s="11" t="s">
        <v>4026</v>
      </c>
      <c r="D25" s="11" t="s">
        <v>3440</v>
      </c>
      <c r="E25" s="11" t="s">
        <v>3448</v>
      </c>
      <c r="F25" s="11" t="s">
        <v>3449</v>
      </c>
      <c r="G25" s="11" t="s">
        <v>3442</v>
      </c>
      <c r="H25" s="11" t="s">
        <v>3443</v>
      </c>
      <c r="I25" s="11" t="s">
        <v>3444</v>
      </c>
      <c r="J25" s="11" t="s">
        <v>4038</v>
      </c>
    </row>
    <row r="26" spans="1:11" ht="17.25" customHeight="1">
      <c r="A26" s="11" t="str">
        <f t="shared" si="0"/>
        <v>E025</v>
      </c>
      <c r="B26" s="11" t="s">
        <v>615</v>
      </c>
      <c r="C26" s="11" t="s">
        <v>3457</v>
      </c>
      <c r="D26" s="11" t="s">
        <v>3440</v>
      </c>
      <c r="E26" s="11" t="s">
        <v>3448</v>
      </c>
      <c r="F26" s="11" t="s">
        <v>3449</v>
      </c>
      <c r="G26" s="11" t="s">
        <v>3442</v>
      </c>
      <c r="H26" s="11" t="s">
        <v>3443</v>
      </c>
      <c r="I26" s="11" t="s">
        <v>3444</v>
      </c>
      <c r="J26" s="11" t="s">
        <v>4038</v>
      </c>
    </row>
    <row r="27" spans="1:11" ht="17.25" customHeight="1">
      <c r="A27" s="11" t="str">
        <f t="shared" si="0"/>
        <v>E026</v>
      </c>
      <c r="B27" s="11" t="s">
        <v>639</v>
      </c>
      <c r="C27" s="11" t="s">
        <v>3457</v>
      </c>
      <c r="D27" s="11" t="s">
        <v>3440</v>
      </c>
      <c r="E27" s="11" t="s">
        <v>3448</v>
      </c>
      <c r="F27" s="11" t="s">
        <v>3449</v>
      </c>
      <c r="G27" s="11" t="s">
        <v>3442</v>
      </c>
      <c r="H27" s="11" t="s">
        <v>3443</v>
      </c>
      <c r="I27" s="11" t="s">
        <v>3444</v>
      </c>
      <c r="J27" s="11" t="s">
        <v>4038</v>
      </c>
    </row>
    <row r="28" spans="1:11" ht="17.25" customHeight="1">
      <c r="A28" s="11" t="str">
        <f t="shared" si="0"/>
        <v>E027</v>
      </c>
      <c r="B28" s="11" t="s">
        <v>671</v>
      </c>
      <c r="C28" s="11" t="s">
        <v>3457</v>
      </c>
      <c r="D28" s="11" t="s">
        <v>3440</v>
      </c>
      <c r="E28" s="11" t="s">
        <v>3464</v>
      </c>
      <c r="F28" s="11" t="s">
        <v>3465</v>
      </c>
      <c r="G28" s="11" t="s">
        <v>3466</v>
      </c>
      <c r="H28" s="11" t="s">
        <v>3443</v>
      </c>
      <c r="I28" s="11" t="s">
        <v>3444</v>
      </c>
      <c r="J28" s="11" t="s">
        <v>4038</v>
      </c>
    </row>
    <row r="29" spans="1:11" ht="17.25" customHeight="1">
      <c r="A29" s="11" t="str">
        <f t="shared" si="0"/>
        <v>E028</v>
      </c>
      <c r="B29" s="11" t="s">
        <v>800</v>
      </c>
      <c r="C29" s="11" t="s">
        <v>4029</v>
      </c>
      <c r="D29" s="11" t="s">
        <v>3440</v>
      </c>
      <c r="E29" s="11" t="s">
        <v>3448</v>
      </c>
      <c r="F29" s="11" t="s">
        <v>3449</v>
      </c>
      <c r="G29" s="11" t="s">
        <v>3467</v>
      </c>
      <c r="H29" s="11" t="s">
        <v>3443</v>
      </c>
      <c r="I29" s="11" t="s">
        <v>3444</v>
      </c>
      <c r="J29" s="11" t="s">
        <v>4038</v>
      </c>
    </row>
    <row r="30" spans="1:11" ht="17.25" customHeight="1">
      <c r="A30" s="11" t="str">
        <f t="shared" si="0"/>
        <v>E029</v>
      </c>
      <c r="B30" s="11" t="s">
        <v>807</v>
      </c>
      <c r="C30" s="11" t="s">
        <v>3457</v>
      </c>
      <c r="D30" s="12" t="s">
        <v>3440</v>
      </c>
      <c r="E30" s="11" t="s">
        <v>3468</v>
      </c>
      <c r="G30" s="11" t="s">
        <v>3469</v>
      </c>
      <c r="H30" s="11" t="s">
        <v>3443</v>
      </c>
      <c r="I30" s="11" t="s">
        <v>3444</v>
      </c>
      <c r="J30" s="11" t="s">
        <v>4038</v>
      </c>
    </row>
    <row r="31" spans="1:11" ht="17.25" customHeight="1">
      <c r="A31" s="11" t="str">
        <f t="shared" si="0"/>
        <v>E030</v>
      </c>
      <c r="B31" s="11" t="s">
        <v>944</v>
      </c>
      <c r="C31" s="11" t="s">
        <v>4028</v>
      </c>
      <c r="D31" s="11" t="s">
        <v>3440</v>
      </c>
      <c r="E31" s="11" t="s">
        <v>3441</v>
      </c>
      <c r="F31" s="11" t="s">
        <v>3441</v>
      </c>
      <c r="G31" s="11" t="s">
        <v>3467</v>
      </c>
      <c r="H31" s="11" t="s">
        <v>3443</v>
      </c>
      <c r="I31" s="11" t="s">
        <v>3444</v>
      </c>
      <c r="J31" s="11" t="s">
        <v>4038</v>
      </c>
    </row>
    <row r="32" spans="1:11" ht="17.25" customHeight="1">
      <c r="A32" s="11" t="str">
        <f t="shared" si="0"/>
        <v>E031</v>
      </c>
      <c r="B32" s="11" t="s">
        <v>952</v>
      </c>
      <c r="C32" s="11" t="s">
        <v>4026</v>
      </c>
      <c r="D32" s="11" t="s">
        <v>3440</v>
      </c>
      <c r="E32" s="11" t="s">
        <v>3448</v>
      </c>
      <c r="F32" s="11" t="s">
        <v>3449</v>
      </c>
      <c r="G32" s="11" t="s">
        <v>3467</v>
      </c>
      <c r="H32" s="11" t="s">
        <v>3443</v>
      </c>
      <c r="I32" s="11" t="s">
        <v>3444</v>
      </c>
      <c r="J32" s="11" t="s">
        <v>4037</v>
      </c>
      <c r="K32" s="15" t="s">
        <v>3472</v>
      </c>
    </row>
    <row r="33" spans="1:14" ht="17.25" customHeight="1">
      <c r="A33" s="11" t="str">
        <f t="shared" si="0"/>
        <v>E032</v>
      </c>
      <c r="B33" s="11" t="s">
        <v>957</v>
      </c>
      <c r="C33" s="11" t="s">
        <v>4024</v>
      </c>
      <c r="D33" s="11" t="s">
        <v>3440</v>
      </c>
      <c r="E33" s="11" t="s">
        <v>3468</v>
      </c>
      <c r="G33" s="11" t="s">
        <v>3467</v>
      </c>
      <c r="H33" s="11" t="s">
        <v>3443</v>
      </c>
      <c r="I33" s="11" t="s">
        <v>3444</v>
      </c>
      <c r="J33" s="11" t="s">
        <v>4038</v>
      </c>
    </row>
    <row r="34" spans="1:14" ht="17.25" customHeight="1">
      <c r="A34" s="11" t="str">
        <f t="shared" si="0"/>
        <v>E033</v>
      </c>
      <c r="B34" s="11" t="s">
        <v>966</v>
      </c>
      <c r="C34" s="11" t="s">
        <v>4024</v>
      </c>
      <c r="D34" s="11" t="s">
        <v>3440</v>
      </c>
      <c r="E34" s="11" t="s">
        <v>3448</v>
      </c>
      <c r="F34" s="11" t="s">
        <v>3449</v>
      </c>
      <c r="G34" s="11" t="s">
        <v>3467</v>
      </c>
      <c r="H34" s="11" t="s">
        <v>3443</v>
      </c>
      <c r="I34" s="11" t="s">
        <v>3444</v>
      </c>
      <c r="J34" s="11" t="s">
        <v>4038</v>
      </c>
    </row>
    <row r="35" spans="1:14" ht="17.25" customHeight="1">
      <c r="A35" s="11" t="str">
        <f t="shared" si="0"/>
        <v>E034</v>
      </c>
      <c r="B35" s="11" t="s">
        <v>977</v>
      </c>
      <c r="C35" s="11" t="s">
        <v>4026</v>
      </c>
      <c r="D35" s="11" t="s">
        <v>3440</v>
      </c>
      <c r="E35" s="11" t="s">
        <v>3441</v>
      </c>
      <c r="F35" s="11" t="s">
        <v>3441</v>
      </c>
      <c r="G35" s="11" t="s">
        <v>3467</v>
      </c>
      <c r="H35" s="11" t="s">
        <v>3443</v>
      </c>
      <c r="I35" s="11" t="s">
        <v>3444</v>
      </c>
      <c r="J35" s="11" t="s">
        <v>4038</v>
      </c>
    </row>
    <row r="36" spans="1:14" ht="17.25" customHeight="1">
      <c r="A36" s="11" t="str">
        <f t="shared" si="0"/>
        <v>E035</v>
      </c>
      <c r="B36" s="11" t="s">
        <v>1000</v>
      </c>
      <c r="C36" s="11" t="s">
        <v>4026</v>
      </c>
      <c r="D36" s="11" t="s">
        <v>3440</v>
      </c>
      <c r="E36" s="11" t="s">
        <v>3441</v>
      </c>
      <c r="F36" s="11" t="s">
        <v>3441</v>
      </c>
      <c r="G36" s="11" t="s">
        <v>3455</v>
      </c>
      <c r="H36" s="11" t="s">
        <v>3443</v>
      </c>
      <c r="I36" s="11" t="s">
        <v>3444</v>
      </c>
      <c r="J36" s="11" t="s">
        <v>4038</v>
      </c>
    </row>
    <row r="37" spans="1:14" ht="17.25" customHeight="1">
      <c r="A37" s="11" t="str">
        <f t="shared" si="0"/>
        <v>E036</v>
      </c>
      <c r="B37" s="11" t="s">
        <v>1015</v>
      </c>
      <c r="C37" s="11" t="s">
        <v>3457</v>
      </c>
      <c r="D37" s="12" t="s">
        <v>3440</v>
      </c>
      <c r="E37" s="11" t="s">
        <v>3441</v>
      </c>
      <c r="F37" s="11" t="s">
        <v>3441</v>
      </c>
      <c r="G37" s="11" t="s">
        <v>3473</v>
      </c>
      <c r="H37" s="11" t="s">
        <v>3443</v>
      </c>
      <c r="I37" s="11" t="s">
        <v>3444</v>
      </c>
      <c r="J37" s="11" t="s">
        <v>4038</v>
      </c>
    </row>
    <row r="38" spans="1:14" ht="17.25" customHeight="1">
      <c r="A38" s="11" t="str">
        <f t="shared" si="0"/>
        <v>E037</v>
      </c>
      <c r="B38" s="11" t="s">
        <v>1046</v>
      </c>
      <c r="C38" s="11" t="s">
        <v>4026</v>
      </c>
      <c r="D38" s="12" t="s">
        <v>3440</v>
      </c>
      <c r="E38" s="11" t="s">
        <v>3441</v>
      </c>
      <c r="F38" s="11" t="s">
        <v>3441</v>
      </c>
      <c r="G38" s="11" t="s">
        <v>3466</v>
      </c>
      <c r="H38" s="11" t="s">
        <v>3443</v>
      </c>
      <c r="I38" s="11" t="s">
        <v>3444</v>
      </c>
      <c r="J38" s="11" t="s">
        <v>4039</v>
      </c>
    </row>
    <row r="39" spans="1:14" ht="17.25" customHeight="1">
      <c r="A39" s="11" t="str">
        <f t="shared" si="0"/>
        <v>E038</v>
      </c>
      <c r="B39" s="11" t="s">
        <v>1059</v>
      </c>
      <c r="C39" s="11" t="s">
        <v>4030</v>
      </c>
      <c r="D39" s="12" t="s">
        <v>3440</v>
      </c>
      <c r="E39" s="11" t="s">
        <v>3451</v>
      </c>
      <c r="G39" s="11" t="s">
        <v>3446</v>
      </c>
      <c r="H39" s="11" t="s">
        <v>3443</v>
      </c>
      <c r="I39" s="11" t="s">
        <v>3444</v>
      </c>
      <c r="J39" s="11" t="s">
        <v>4038</v>
      </c>
    </row>
    <row r="40" spans="1:14" ht="17.25" customHeight="1">
      <c r="A40" s="11" t="str">
        <f t="shared" si="0"/>
        <v>E039</v>
      </c>
      <c r="B40" s="11" t="s">
        <v>1099</v>
      </c>
      <c r="C40" s="11" t="s">
        <v>4027</v>
      </c>
      <c r="D40" s="12" t="s">
        <v>3440</v>
      </c>
      <c r="E40" s="11" t="s">
        <v>3441</v>
      </c>
      <c r="F40" s="11" t="s">
        <v>3441</v>
      </c>
      <c r="G40" s="11" t="s">
        <v>3455</v>
      </c>
      <c r="H40" s="11" t="s">
        <v>3443</v>
      </c>
      <c r="I40" s="11" t="s">
        <v>3444</v>
      </c>
      <c r="J40" s="11" t="s">
        <v>4038</v>
      </c>
    </row>
    <row r="41" spans="1:14" ht="17.25" customHeight="1">
      <c r="A41" s="11" t="str">
        <f t="shared" si="0"/>
        <v>E040</v>
      </c>
      <c r="B41" s="11" t="s">
        <v>92</v>
      </c>
      <c r="C41" s="11" t="s">
        <v>4023</v>
      </c>
      <c r="D41" t="s">
        <v>3440</v>
      </c>
      <c r="E41" s="11" t="s">
        <v>3441</v>
      </c>
      <c r="F41" s="11" t="s">
        <v>3441</v>
      </c>
      <c r="G41" s="11" t="s">
        <v>3475</v>
      </c>
      <c r="H41" s="11" t="s">
        <v>3476</v>
      </c>
      <c r="I41" s="11" t="s">
        <v>3477</v>
      </c>
      <c r="J41" s="11" t="s">
        <v>4038</v>
      </c>
      <c r="K41" s="15" t="s">
        <v>3472</v>
      </c>
    </row>
    <row r="42" spans="1:14" ht="17.25" customHeight="1">
      <c r="A42" s="11" t="str">
        <f t="shared" si="0"/>
        <v>E041</v>
      </c>
      <c r="B42" s="11" t="s">
        <v>119</v>
      </c>
      <c r="C42" s="11" t="s">
        <v>4023</v>
      </c>
      <c r="D42" t="s">
        <v>3440</v>
      </c>
      <c r="E42" s="11" t="s">
        <v>3441</v>
      </c>
      <c r="F42" s="11" t="s">
        <v>3441</v>
      </c>
      <c r="G42" s="11" t="s">
        <v>3446</v>
      </c>
      <c r="H42" s="11" t="s">
        <v>3476</v>
      </c>
      <c r="I42" s="11" t="s">
        <v>3477</v>
      </c>
      <c r="J42" s="11" t="s">
        <v>4038</v>
      </c>
      <c r="K42" s="15" t="s">
        <v>3472</v>
      </c>
    </row>
    <row r="43" spans="1:14" ht="17.25" customHeight="1">
      <c r="A43" s="11" t="str">
        <f t="shared" si="0"/>
        <v>E042</v>
      </c>
      <c r="B43" s="11" t="s">
        <v>135</v>
      </c>
      <c r="C43" s="11" t="s">
        <v>4023</v>
      </c>
      <c r="D43" t="s">
        <v>3440</v>
      </c>
      <c r="E43" s="11" t="s">
        <v>3441</v>
      </c>
      <c r="F43" s="11" t="s">
        <v>3441</v>
      </c>
      <c r="G43" s="11" t="s">
        <v>3442</v>
      </c>
      <c r="H43" s="11" t="s">
        <v>3476</v>
      </c>
      <c r="I43" s="11" t="s">
        <v>3477</v>
      </c>
      <c r="J43" s="11" t="s">
        <v>4037</v>
      </c>
      <c r="K43" s="15" t="s">
        <v>3472</v>
      </c>
    </row>
    <row r="44" spans="1:14" ht="17.25" customHeight="1">
      <c r="A44" s="11" t="str">
        <f t="shared" si="0"/>
        <v>E043</v>
      </c>
      <c r="B44" s="11" t="s">
        <v>151</v>
      </c>
      <c r="C44" s="11" t="s">
        <v>4024</v>
      </c>
      <c r="D44" s="11" t="s">
        <v>3440</v>
      </c>
      <c r="E44" s="11" t="s">
        <v>3441</v>
      </c>
      <c r="F44" s="11" t="s">
        <v>3441</v>
      </c>
      <c r="G44" s="11" t="s">
        <v>3442</v>
      </c>
      <c r="H44" s="11" t="s">
        <v>3476</v>
      </c>
      <c r="I44" s="11" t="s">
        <v>3477</v>
      </c>
      <c r="J44" s="11" t="s">
        <v>4038</v>
      </c>
      <c r="K44" s="15" t="s">
        <v>3472</v>
      </c>
    </row>
    <row r="45" spans="1:14" ht="17.25" customHeight="1">
      <c r="A45" s="11" t="str">
        <f t="shared" si="0"/>
        <v>E044</v>
      </c>
      <c r="B45" s="11" t="s">
        <v>1030</v>
      </c>
      <c r="C45" s="11" t="s">
        <v>4029</v>
      </c>
      <c r="D45" s="11" t="s">
        <v>3440</v>
      </c>
      <c r="E45" s="11" t="s">
        <v>3478</v>
      </c>
      <c r="G45" s="11" t="s">
        <v>3446</v>
      </c>
      <c r="H45" s="11" t="s">
        <v>3479</v>
      </c>
      <c r="I45" s="11" t="s">
        <v>3477</v>
      </c>
      <c r="J45" s="11" t="s">
        <v>4038</v>
      </c>
      <c r="K45" s="15" t="s">
        <v>3472</v>
      </c>
    </row>
    <row r="46" spans="1:14" ht="17.25" customHeight="1">
      <c r="A46" s="11" t="str">
        <f t="shared" si="0"/>
        <v>E045</v>
      </c>
      <c r="B46" s="11" t="s">
        <v>891</v>
      </c>
      <c r="C46" s="128" t="s">
        <v>4029</v>
      </c>
      <c r="D46" t="s">
        <v>3440</v>
      </c>
      <c r="E46" s="11" t="s">
        <v>3451</v>
      </c>
      <c r="G46" s="11" t="s">
        <v>3446</v>
      </c>
      <c r="H46" s="11" t="s">
        <v>3479</v>
      </c>
      <c r="I46" s="11" t="s">
        <v>3477</v>
      </c>
      <c r="J46" s="11" t="s">
        <v>4037</v>
      </c>
      <c r="K46" s="15" t="s">
        <v>3472</v>
      </c>
    </row>
    <row r="47" spans="1:14" ht="17.25" customHeight="1">
      <c r="A47" s="11" t="str">
        <f t="shared" si="0"/>
        <v>E046</v>
      </c>
      <c r="B47" s="11" t="s">
        <v>151</v>
      </c>
      <c r="C47" s="11" t="s">
        <v>4032</v>
      </c>
      <c r="D47" t="s">
        <v>3440</v>
      </c>
      <c r="E47" s="11" t="s">
        <v>3458</v>
      </c>
      <c r="G47" s="11" t="s">
        <v>3446</v>
      </c>
      <c r="H47" s="11" t="s">
        <v>3479</v>
      </c>
      <c r="I47" s="11" t="s">
        <v>3477</v>
      </c>
      <c r="J47" s="11" t="s">
        <v>4037</v>
      </c>
      <c r="K47" s="15" t="s">
        <v>3472</v>
      </c>
    </row>
    <row r="48" spans="1:14" ht="17.25" customHeight="1">
      <c r="A48" s="11" t="str">
        <f t="shared" si="0"/>
        <v>E047</v>
      </c>
      <c r="B48" s="11" t="s">
        <v>3480</v>
      </c>
      <c r="C48" s="11" t="s">
        <v>4033</v>
      </c>
      <c r="D48" t="s">
        <v>3440</v>
      </c>
      <c r="E48" s="11" t="s">
        <v>3441</v>
      </c>
      <c r="G48" s="11" t="s">
        <v>3446</v>
      </c>
      <c r="H48" s="11" t="s">
        <v>3479</v>
      </c>
      <c r="I48" s="11" t="s">
        <v>3477</v>
      </c>
      <c r="J48" s="11" t="s">
        <v>4039</v>
      </c>
      <c r="K48" s="15" t="s">
        <v>3472</v>
      </c>
      <c r="L48" s="11" t="s">
        <v>3482</v>
      </c>
      <c r="N48" s="11" t="s">
        <v>390</v>
      </c>
    </row>
    <row r="49" spans="1:14" ht="17.25" customHeight="1">
      <c r="A49" s="11" t="str">
        <f t="shared" si="0"/>
        <v>E048</v>
      </c>
      <c r="B49" s="11" t="s">
        <v>1030</v>
      </c>
      <c r="C49" s="11" t="s">
        <v>3457</v>
      </c>
      <c r="D49" t="s">
        <v>3440</v>
      </c>
      <c r="E49" s="11" t="s">
        <v>3448</v>
      </c>
      <c r="F49" s="11" t="s">
        <v>3449</v>
      </c>
      <c r="G49" s="11" t="s">
        <v>3442</v>
      </c>
      <c r="H49" s="11" t="s">
        <v>3479</v>
      </c>
      <c r="I49" s="11" t="s">
        <v>3477</v>
      </c>
      <c r="J49" s="11" t="s">
        <v>4038</v>
      </c>
      <c r="K49" s="15" t="s">
        <v>3472</v>
      </c>
    </row>
    <row r="50" spans="1:14" ht="17.25" customHeight="1">
      <c r="A50" s="11" t="str">
        <f t="shared" si="0"/>
        <v>E049</v>
      </c>
      <c r="B50" s="11" t="s">
        <v>442</v>
      </c>
      <c r="C50" s="11" t="s">
        <v>4023</v>
      </c>
      <c r="D50" s="11" t="s">
        <v>3440</v>
      </c>
      <c r="E50" s="11" t="s">
        <v>3441</v>
      </c>
      <c r="G50" s="11" t="s">
        <v>3483</v>
      </c>
      <c r="H50" s="11" t="s">
        <v>3479</v>
      </c>
      <c r="I50" s="11" t="s">
        <v>3477</v>
      </c>
      <c r="J50" s="11" t="s">
        <v>4039</v>
      </c>
      <c r="K50" s="15" t="s">
        <v>3472</v>
      </c>
    </row>
    <row r="51" spans="1:14" ht="17.25" customHeight="1">
      <c r="A51" s="11" t="str">
        <f t="shared" si="0"/>
        <v>E050</v>
      </c>
      <c r="B51" s="11" t="s">
        <v>1064</v>
      </c>
      <c r="C51" s="11" t="s">
        <v>4027</v>
      </c>
      <c r="D51" s="11" t="s">
        <v>3440</v>
      </c>
      <c r="E51" s="11" t="s">
        <v>3458</v>
      </c>
      <c r="G51" s="11" t="s">
        <v>3455</v>
      </c>
      <c r="H51" s="11" t="s">
        <v>3479</v>
      </c>
      <c r="I51" s="11" t="s">
        <v>3477</v>
      </c>
      <c r="J51" s="11" t="s">
        <v>4039</v>
      </c>
      <c r="K51" s="15" t="s">
        <v>3472</v>
      </c>
      <c r="L51" s="11" t="s">
        <v>3482</v>
      </c>
      <c r="N51" s="11" t="s">
        <v>390</v>
      </c>
    </row>
    <row r="52" spans="1:14" ht="17.25" customHeight="1">
      <c r="A52" s="11" t="str">
        <f t="shared" si="0"/>
        <v>E051</v>
      </c>
      <c r="B52" s="11" t="s">
        <v>3484</v>
      </c>
      <c r="C52" s="11" t="s">
        <v>4030</v>
      </c>
      <c r="D52" t="s">
        <v>3440</v>
      </c>
      <c r="E52" s="11" t="s">
        <v>3451</v>
      </c>
      <c r="G52" s="11" t="s">
        <v>3446</v>
      </c>
      <c r="H52" s="11" t="s">
        <v>3479</v>
      </c>
      <c r="I52" s="11" t="s">
        <v>3477</v>
      </c>
      <c r="J52" s="11" t="s">
        <v>4038</v>
      </c>
      <c r="K52" s="15" t="s">
        <v>3472</v>
      </c>
    </row>
    <row r="53" spans="1:14" ht="17.25" customHeight="1">
      <c r="A53" s="11" t="str">
        <f t="shared" si="0"/>
        <v>E052</v>
      </c>
      <c r="B53" s="11" t="s">
        <v>1085</v>
      </c>
      <c r="C53" s="11" t="s">
        <v>4029</v>
      </c>
      <c r="D53" t="s">
        <v>3440</v>
      </c>
      <c r="E53" s="11" t="s">
        <v>3458</v>
      </c>
      <c r="G53" s="11" t="s">
        <v>3455</v>
      </c>
      <c r="H53" s="11" t="s">
        <v>3479</v>
      </c>
      <c r="I53" s="11" t="s">
        <v>3477</v>
      </c>
      <c r="J53" s="11" t="s">
        <v>4037</v>
      </c>
      <c r="K53" s="15" t="s">
        <v>3472</v>
      </c>
      <c r="L53" s="11" t="s">
        <v>3485</v>
      </c>
    </row>
    <row r="54" spans="1:14" ht="17.25" customHeight="1">
      <c r="A54" s="11" t="str">
        <f t="shared" si="0"/>
        <v>E053</v>
      </c>
      <c r="B54" s="11" t="s">
        <v>605</v>
      </c>
      <c r="C54" s="11" t="s">
        <v>4032</v>
      </c>
      <c r="D54" s="11" t="s">
        <v>3440</v>
      </c>
      <c r="E54" s="11" t="s">
        <v>3448</v>
      </c>
      <c r="F54" s="11" t="s">
        <v>3449</v>
      </c>
      <c r="G54" s="11" t="s">
        <v>3446</v>
      </c>
      <c r="H54" s="11" t="s">
        <v>3479</v>
      </c>
      <c r="I54" s="11" t="s">
        <v>3477</v>
      </c>
      <c r="J54" s="11" t="s">
        <v>4038</v>
      </c>
      <c r="K54" s="15" t="s">
        <v>3472</v>
      </c>
    </row>
    <row r="55" spans="1:14" ht="17.25" customHeight="1">
      <c r="A55" s="11" t="str">
        <f t="shared" si="0"/>
        <v>E054</v>
      </c>
      <c r="B55" s="11" t="s">
        <v>376</v>
      </c>
      <c r="C55" s="11" t="s">
        <v>4024</v>
      </c>
      <c r="D55" s="11" t="s">
        <v>3440</v>
      </c>
      <c r="E55" s="11" t="s">
        <v>3486</v>
      </c>
      <c r="G55" s="11" t="s">
        <v>3475</v>
      </c>
      <c r="H55" s="11" t="s">
        <v>3476</v>
      </c>
      <c r="I55" s="11" t="s">
        <v>3477</v>
      </c>
      <c r="J55" s="11" t="s">
        <v>4038</v>
      </c>
      <c r="K55" s="15" t="s">
        <v>3472</v>
      </c>
    </row>
    <row r="56" spans="1:14" ht="17.25" customHeight="1">
      <c r="A56" s="11" t="str">
        <f t="shared" si="0"/>
        <v>E055</v>
      </c>
      <c r="B56" s="11" t="s">
        <v>1129</v>
      </c>
      <c r="C56" s="11" t="s">
        <v>3457</v>
      </c>
      <c r="D56" s="11" t="s">
        <v>3440</v>
      </c>
      <c r="E56" s="11" t="s">
        <v>3468</v>
      </c>
      <c r="G56" s="11" t="s">
        <v>3442</v>
      </c>
      <c r="H56" s="11" t="s">
        <v>3476</v>
      </c>
      <c r="I56" s="11" t="s">
        <v>3477</v>
      </c>
      <c r="J56" s="11" t="s">
        <v>4037</v>
      </c>
      <c r="K56" s="15" t="s">
        <v>3472</v>
      </c>
    </row>
    <row r="57" spans="1:14" ht="17.25" customHeight="1">
      <c r="A57" s="11" t="str">
        <f t="shared" si="0"/>
        <v>E056</v>
      </c>
      <c r="B57" s="11" t="s">
        <v>1463</v>
      </c>
      <c r="C57" s="11" t="s">
        <v>4030</v>
      </c>
      <c r="D57" t="s">
        <v>3440</v>
      </c>
      <c r="E57" s="11" t="s">
        <v>3468</v>
      </c>
      <c r="G57" s="11" t="s">
        <v>3466</v>
      </c>
      <c r="H57" s="11" t="s">
        <v>3476</v>
      </c>
      <c r="I57" s="11" t="s">
        <v>3477</v>
      </c>
      <c r="J57" s="11" t="s">
        <v>4037</v>
      </c>
      <c r="K57" s="15" t="s">
        <v>3472</v>
      </c>
    </row>
    <row r="58" spans="1:14" ht="17.25" customHeight="1">
      <c r="A58" s="11" t="str">
        <f t="shared" si="0"/>
        <v>E057</v>
      </c>
      <c r="B58" s="11" t="s">
        <v>1908</v>
      </c>
      <c r="C58" s="11" t="s">
        <v>4024</v>
      </c>
      <c r="D58" t="s">
        <v>3440</v>
      </c>
      <c r="E58" s="11" t="s">
        <v>3468</v>
      </c>
      <c r="G58" s="11" t="s">
        <v>3466</v>
      </c>
      <c r="H58" s="11" t="s">
        <v>3476</v>
      </c>
      <c r="I58" s="11" t="s">
        <v>3477</v>
      </c>
      <c r="J58" s="11" t="s">
        <v>4039</v>
      </c>
      <c r="K58" s="15" t="s">
        <v>3472</v>
      </c>
      <c r="L58" s="11" t="s">
        <v>3485</v>
      </c>
      <c r="N58" s="11" t="s">
        <v>390</v>
      </c>
    </row>
    <row r="59" spans="1:14" ht="17.25" customHeight="1">
      <c r="A59" s="11" t="str">
        <f t="shared" si="0"/>
        <v>E058</v>
      </c>
      <c r="B59" s="11" t="s">
        <v>419</v>
      </c>
      <c r="C59" s="11" t="s">
        <v>3457</v>
      </c>
      <c r="D59" t="s">
        <v>3440</v>
      </c>
      <c r="E59" s="11" t="s">
        <v>3441</v>
      </c>
      <c r="F59" s="11" t="s">
        <v>3441</v>
      </c>
      <c r="G59" s="11" t="s">
        <v>3441</v>
      </c>
      <c r="H59" s="11" t="s">
        <v>3476</v>
      </c>
      <c r="I59" s="11" t="s">
        <v>3477</v>
      </c>
      <c r="J59" s="11" t="s">
        <v>4037</v>
      </c>
      <c r="K59" s="15" t="s">
        <v>3472</v>
      </c>
    </row>
    <row r="60" spans="1:14" ht="17.25" customHeight="1">
      <c r="A60" s="11" t="str">
        <f t="shared" si="0"/>
        <v>E059</v>
      </c>
      <c r="B60" s="11" t="s">
        <v>2976</v>
      </c>
      <c r="C60" s="11" t="s">
        <v>4024</v>
      </c>
      <c r="D60" s="16" t="s">
        <v>3440</v>
      </c>
      <c r="E60" s="11" t="s">
        <v>3441</v>
      </c>
      <c r="F60" s="11" t="s">
        <v>3441</v>
      </c>
      <c r="G60" s="11" t="s">
        <v>3441</v>
      </c>
      <c r="H60" s="11" t="s">
        <v>3476</v>
      </c>
      <c r="I60" s="11" t="s">
        <v>3477</v>
      </c>
      <c r="J60" s="11" t="s">
        <v>4039</v>
      </c>
      <c r="K60" s="15" t="s">
        <v>3472</v>
      </c>
      <c r="L60" s="11" t="s">
        <v>3485</v>
      </c>
    </row>
    <row r="61" spans="1:14" ht="17.25" customHeight="1">
      <c r="A61" s="11" t="str">
        <f t="shared" si="0"/>
        <v>E060</v>
      </c>
      <c r="B61" s="11" t="s">
        <v>424</v>
      </c>
      <c r="C61" s="11" t="s">
        <v>3457</v>
      </c>
      <c r="D61" t="s">
        <v>3440</v>
      </c>
      <c r="E61" s="11" t="s">
        <v>3458</v>
      </c>
      <c r="G61" s="11" t="s">
        <v>3455</v>
      </c>
      <c r="H61" s="11" t="s">
        <v>3476</v>
      </c>
      <c r="I61" s="11" t="s">
        <v>3477</v>
      </c>
      <c r="J61" s="11" t="s">
        <v>4037</v>
      </c>
      <c r="K61" s="15" t="s">
        <v>3472</v>
      </c>
    </row>
    <row r="62" spans="1:14" ht="17.25" customHeight="1">
      <c r="A62" s="11" t="str">
        <f t="shared" si="0"/>
        <v>E061</v>
      </c>
      <c r="B62" s="11" t="s">
        <v>3487</v>
      </c>
      <c r="C62" s="11" t="s">
        <v>4024</v>
      </c>
      <c r="D62" t="s">
        <v>3440</v>
      </c>
      <c r="E62" s="11" t="s">
        <v>3441</v>
      </c>
      <c r="F62" s="11" t="s">
        <v>3441</v>
      </c>
      <c r="G62" s="11" t="s">
        <v>3455</v>
      </c>
      <c r="H62" s="11" t="s">
        <v>3476</v>
      </c>
      <c r="I62" s="11" t="s">
        <v>3477</v>
      </c>
      <c r="J62" s="11" t="s">
        <v>4037</v>
      </c>
      <c r="K62" s="15" t="s">
        <v>3472</v>
      </c>
    </row>
    <row r="63" spans="1:14" ht="17.25" customHeight="1">
      <c r="A63" s="11" t="str">
        <f t="shared" si="0"/>
        <v>E062</v>
      </c>
      <c r="B63" s="11" t="s">
        <v>442</v>
      </c>
      <c r="C63" s="11" t="s">
        <v>4024</v>
      </c>
      <c r="D63" s="11" t="s">
        <v>3440</v>
      </c>
      <c r="E63" s="11" t="s">
        <v>3441</v>
      </c>
      <c r="F63" s="11" t="s">
        <v>3441</v>
      </c>
      <c r="G63" s="11" t="s">
        <v>3455</v>
      </c>
      <c r="H63" s="11" t="s">
        <v>3476</v>
      </c>
      <c r="I63" s="11" t="s">
        <v>3477</v>
      </c>
      <c r="J63" s="11" t="s">
        <v>4039</v>
      </c>
      <c r="K63" s="15" t="s">
        <v>3472</v>
      </c>
    </row>
    <row r="64" spans="1:14" ht="17.25" customHeight="1">
      <c r="A64" s="11" t="str">
        <f t="shared" si="0"/>
        <v>E063</v>
      </c>
      <c r="B64" s="11" t="s">
        <v>3033</v>
      </c>
      <c r="C64" s="11" t="s">
        <v>4031</v>
      </c>
      <c r="D64" t="s">
        <v>3440</v>
      </c>
      <c r="E64" s="11" t="s">
        <v>3458</v>
      </c>
      <c r="G64" s="11" t="s">
        <v>3455</v>
      </c>
      <c r="H64" s="11" t="s">
        <v>3476</v>
      </c>
      <c r="I64" s="11" t="s">
        <v>3477</v>
      </c>
      <c r="J64" s="11" t="s">
        <v>4037</v>
      </c>
      <c r="K64" s="15" t="s">
        <v>3472</v>
      </c>
    </row>
    <row r="65" spans="1:14" ht="17.25" customHeight="1">
      <c r="A65" s="11" t="str">
        <f t="shared" si="0"/>
        <v>E064</v>
      </c>
      <c r="B65" s="11" t="s">
        <v>3318</v>
      </c>
      <c r="C65" s="11" t="s">
        <v>4024</v>
      </c>
      <c r="D65" t="s">
        <v>3440</v>
      </c>
      <c r="E65" s="11" t="s">
        <v>3441</v>
      </c>
      <c r="F65" s="11" t="s">
        <v>3441</v>
      </c>
      <c r="G65" s="11" t="s">
        <v>3455</v>
      </c>
      <c r="H65" s="11" t="s">
        <v>3476</v>
      </c>
      <c r="I65" s="11" t="s">
        <v>3477</v>
      </c>
      <c r="J65" s="11" t="s">
        <v>4038</v>
      </c>
      <c r="K65" s="15" t="s">
        <v>3472</v>
      </c>
    </row>
    <row r="66" spans="1:14" ht="17.25" customHeight="1">
      <c r="A66" s="11" t="str">
        <f t="shared" ref="A66:A129" si="1">_xlfn.CONCAT("E",TEXT(ROW()-1,"000"))</f>
        <v>E065</v>
      </c>
      <c r="B66" s="11" t="s">
        <v>3489</v>
      </c>
      <c r="C66" s="11" t="s">
        <v>4024</v>
      </c>
      <c r="D66" t="s">
        <v>3440</v>
      </c>
      <c r="E66" s="11" t="s">
        <v>3448</v>
      </c>
      <c r="F66" s="11" t="s">
        <v>3449</v>
      </c>
      <c r="G66" s="11" t="s">
        <v>3442</v>
      </c>
      <c r="H66" s="11" t="s">
        <v>3476</v>
      </c>
      <c r="I66" s="11" t="s">
        <v>3477</v>
      </c>
      <c r="J66" s="11" t="s">
        <v>4037</v>
      </c>
      <c r="K66" s="15" t="s">
        <v>3472</v>
      </c>
    </row>
    <row r="67" spans="1:14" ht="17.25" customHeight="1">
      <c r="A67" s="11" t="str">
        <f t="shared" si="1"/>
        <v>E066</v>
      </c>
      <c r="B67" s="11" t="s">
        <v>1160</v>
      </c>
      <c r="C67" s="11" t="s">
        <v>4024</v>
      </c>
      <c r="D67" t="s">
        <v>3440</v>
      </c>
      <c r="E67" s="11" t="s">
        <v>3441</v>
      </c>
      <c r="F67" s="11" t="s">
        <v>3441</v>
      </c>
      <c r="G67" s="11" t="s">
        <v>3446</v>
      </c>
      <c r="H67" s="11" t="s">
        <v>3476</v>
      </c>
      <c r="I67" s="11" t="s">
        <v>3477</v>
      </c>
      <c r="J67" s="11" t="s">
        <v>4037</v>
      </c>
      <c r="K67" s="15" t="s">
        <v>3472</v>
      </c>
    </row>
    <row r="68" spans="1:14" ht="17.25" customHeight="1">
      <c r="A68" s="11" t="str">
        <f t="shared" si="1"/>
        <v>E067</v>
      </c>
      <c r="B68" s="11" t="s">
        <v>151</v>
      </c>
      <c r="C68" s="11" t="s">
        <v>4024</v>
      </c>
      <c r="D68" t="s">
        <v>3440</v>
      </c>
      <c r="E68" s="11" t="s">
        <v>3448</v>
      </c>
      <c r="F68" s="11" t="s">
        <v>3449</v>
      </c>
      <c r="G68" s="11" t="s">
        <v>3442</v>
      </c>
      <c r="H68" s="11" t="s">
        <v>3490</v>
      </c>
      <c r="I68" s="11" t="s">
        <v>3477</v>
      </c>
      <c r="J68" s="11" t="s">
        <v>4038</v>
      </c>
      <c r="K68" s="15" t="s">
        <v>3472</v>
      </c>
    </row>
    <row r="69" spans="1:14" ht="17.25" customHeight="1">
      <c r="A69" s="11" t="str">
        <f t="shared" si="1"/>
        <v>E068</v>
      </c>
      <c r="B69" s="11" t="s">
        <v>135</v>
      </c>
      <c r="C69" s="11" t="s">
        <v>4023</v>
      </c>
      <c r="D69" s="11" t="s">
        <v>3440</v>
      </c>
      <c r="E69" s="11" t="s">
        <v>3441</v>
      </c>
      <c r="F69" s="11" t="s">
        <v>3441</v>
      </c>
      <c r="G69" s="11" t="s">
        <v>3441</v>
      </c>
      <c r="H69" s="11" t="s">
        <v>3491</v>
      </c>
      <c r="I69" s="11" t="s">
        <v>3477</v>
      </c>
      <c r="J69" s="11" t="s">
        <v>4037</v>
      </c>
      <c r="K69" s="15" t="s">
        <v>3472</v>
      </c>
    </row>
    <row r="70" spans="1:14" ht="17.25" customHeight="1">
      <c r="A70" s="11" t="str">
        <f t="shared" si="1"/>
        <v>E069</v>
      </c>
      <c r="B70" s="11" t="s">
        <v>3492</v>
      </c>
      <c r="C70" s="11" t="s">
        <v>4024</v>
      </c>
      <c r="D70" t="s">
        <v>3440</v>
      </c>
      <c r="E70" s="11" t="s">
        <v>3441</v>
      </c>
      <c r="F70" s="11" t="s">
        <v>3441</v>
      </c>
      <c r="G70" s="11" t="s">
        <v>3441</v>
      </c>
      <c r="H70" s="11" t="s">
        <v>3476</v>
      </c>
      <c r="I70" s="11" t="s">
        <v>3477</v>
      </c>
      <c r="J70" s="11" t="s">
        <v>4037</v>
      </c>
      <c r="K70" s="15" t="s">
        <v>3472</v>
      </c>
    </row>
    <row r="71" spans="1:14" ht="17.25" customHeight="1">
      <c r="A71" s="11" t="str">
        <f t="shared" si="1"/>
        <v>E070</v>
      </c>
      <c r="B71" s="11" t="s">
        <v>2951</v>
      </c>
      <c r="C71" s="11" t="s">
        <v>4028</v>
      </c>
      <c r="D71" t="s">
        <v>3440</v>
      </c>
      <c r="E71" s="11" t="s">
        <v>3462</v>
      </c>
      <c r="G71" s="11" t="s">
        <v>3493</v>
      </c>
      <c r="H71" s="11" t="s">
        <v>3476</v>
      </c>
      <c r="I71" s="11" t="s">
        <v>3477</v>
      </c>
      <c r="J71" s="11" t="s">
        <v>4037</v>
      </c>
      <c r="K71" s="15" t="s">
        <v>3472</v>
      </c>
      <c r="N71" s="11" t="s">
        <v>60</v>
      </c>
    </row>
    <row r="72" spans="1:14" ht="17.25" customHeight="1">
      <c r="A72" s="11" t="str">
        <f t="shared" si="1"/>
        <v>E071</v>
      </c>
      <c r="B72" s="11" t="s">
        <v>262</v>
      </c>
      <c r="C72" s="11" t="s">
        <v>4024</v>
      </c>
      <c r="D72" t="s">
        <v>3440</v>
      </c>
      <c r="E72" s="11" t="s">
        <v>3441</v>
      </c>
      <c r="F72" s="11" t="s">
        <v>3441</v>
      </c>
      <c r="G72" s="11" t="s">
        <v>3455</v>
      </c>
      <c r="H72" s="11" t="s">
        <v>3476</v>
      </c>
      <c r="I72" s="11" t="s">
        <v>3477</v>
      </c>
      <c r="J72" s="11" t="s">
        <v>4038</v>
      </c>
      <c r="K72" s="15" t="s">
        <v>3472</v>
      </c>
    </row>
    <row r="73" spans="1:14" ht="17.25" customHeight="1">
      <c r="A73" s="11" t="str">
        <f t="shared" si="1"/>
        <v>E072</v>
      </c>
      <c r="B73" s="11" t="s">
        <v>3494</v>
      </c>
      <c r="C73" s="11" t="s">
        <v>4023</v>
      </c>
      <c r="D73" t="s">
        <v>3440</v>
      </c>
      <c r="E73" s="11" t="s">
        <v>3441</v>
      </c>
      <c r="F73" s="11" t="s">
        <v>3441</v>
      </c>
      <c r="G73" s="11" t="s">
        <v>3442</v>
      </c>
      <c r="H73" s="11" t="s">
        <v>3476</v>
      </c>
      <c r="I73" s="11" t="s">
        <v>3477</v>
      </c>
      <c r="J73" s="11" t="s">
        <v>4037</v>
      </c>
      <c r="K73" s="15" t="s">
        <v>3472</v>
      </c>
    </row>
    <row r="74" spans="1:14" ht="17.25" customHeight="1">
      <c r="A74" s="11" t="str">
        <f t="shared" si="1"/>
        <v>E073</v>
      </c>
      <c r="B74" s="11" t="s">
        <v>3495</v>
      </c>
      <c r="C74" s="11" t="s">
        <v>4026</v>
      </c>
      <c r="D74" t="s">
        <v>3440</v>
      </c>
      <c r="E74" s="11" t="s">
        <v>3441</v>
      </c>
      <c r="F74" s="11" t="s">
        <v>3441</v>
      </c>
      <c r="G74" s="11" t="s">
        <v>3441</v>
      </c>
      <c r="H74" s="11" t="s">
        <v>3476</v>
      </c>
      <c r="I74" s="11" t="s">
        <v>3477</v>
      </c>
      <c r="J74" s="11" t="s">
        <v>4037</v>
      </c>
      <c r="K74" s="15" t="s">
        <v>3472</v>
      </c>
    </row>
    <row r="75" spans="1:14" ht="17.25" customHeight="1">
      <c r="A75" s="11" t="str">
        <f t="shared" si="1"/>
        <v>E074</v>
      </c>
      <c r="B75" s="11" t="s">
        <v>370</v>
      </c>
      <c r="C75" s="11" t="s">
        <v>4024</v>
      </c>
      <c r="D75" t="s">
        <v>3440</v>
      </c>
      <c r="E75" s="11" t="s">
        <v>3468</v>
      </c>
      <c r="G75" s="11" t="s">
        <v>3442</v>
      </c>
      <c r="H75" s="11" t="s">
        <v>3476</v>
      </c>
      <c r="I75" s="11" t="s">
        <v>3477</v>
      </c>
      <c r="J75" s="11" t="s">
        <v>4038</v>
      </c>
      <c r="K75" s="15" t="s">
        <v>3472</v>
      </c>
    </row>
    <row r="76" spans="1:14" ht="17.25" customHeight="1">
      <c r="A76" s="11" t="str">
        <f t="shared" si="1"/>
        <v>E075</v>
      </c>
      <c r="B76" s="11" t="s">
        <v>3496</v>
      </c>
      <c r="C76" s="11" t="s">
        <v>4026</v>
      </c>
      <c r="D76" t="s">
        <v>3440</v>
      </c>
      <c r="E76" s="11" t="s">
        <v>3441</v>
      </c>
      <c r="F76" s="11" t="s">
        <v>3441</v>
      </c>
      <c r="G76" s="11" t="s">
        <v>3455</v>
      </c>
      <c r="H76" s="11" t="s">
        <v>3476</v>
      </c>
      <c r="I76" s="11" t="s">
        <v>3477</v>
      </c>
      <c r="J76" s="11" t="s">
        <v>4038</v>
      </c>
      <c r="K76" s="15" t="s">
        <v>3472</v>
      </c>
    </row>
    <row r="77" spans="1:14" ht="17.25" customHeight="1">
      <c r="A77" s="11" t="str">
        <f t="shared" si="1"/>
        <v>E076</v>
      </c>
      <c r="B77" s="11" t="s">
        <v>538</v>
      </c>
      <c r="C77" s="11" t="s">
        <v>4024</v>
      </c>
      <c r="D77" t="s">
        <v>3440</v>
      </c>
      <c r="E77" s="11" t="s">
        <v>3441</v>
      </c>
      <c r="F77" s="11" t="s">
        <v>3441</v>
      </c>
      <c r="G77" s="11" t="s">
        <v>3441</v>
      </c>
      <c r="H77" s="11" t="s">
        <v>3476</v>
      </c>
      <c r="I77" s="11" t="s">
        <v>3477</v>
      </c>
      <c r="J77" s="11" t="s">
        <v>4038</v>
      </c>
      <c r="K77" s="15" t="s">
        <v>3472</v>
      </c>
    </row>
    <row r="78" spans="1:14" ht="17.25" customHeight="1">
      <c r="A78" s="11" t="str">
        <f t="shared" si="1"/>
        <v>E077</v>
      </c>
      <c r="B78" s="11" t="s">
        <v>1942</v>
      </c>
      <c r="C78" s="11" t="s">
        <v>4026</v>
      </c>
      <c r="D78" t="s">
        <v>3440</v>
      </c>
      <c r="E78" s="11" t="s">
        <v>3448</v>
      </c>
      <c r="F78" s="11" t="s">
        <v>3449</v>
      </c>
      <c r="G78" s="11" t="s">
        <v>3442</v>
      </c>
      <c r="H78" s="11" t="s">
        <v>3476</v>
      </c>
      <c r="I78" s="11" t="s">
        <v>3477</v>
      </c>
      <c r="J78" s="11" t="s">
        <v>4038</v>
      </c>
      <c r="K78" s="15" t="s">
        <v>3472</v>
      </c>
    </row>
    <row r="79" spans="1:14" ht="17.25" customHeight="1">
      <c r="A79" s="11" t="str">
        <f t="shared" si="1"/>
        <v>E078</v>
      </c>
      <c r="B79" s="11" t="s">
        <v>3497</v>
      </c>
      <c r="C79" s="11" t="s">
        <v>4026</v>
      </c>
      <c r="D79" t="s">
        <v>3440</v>
      </c>
      <c r="E79" s="11" t="s">
        <v>3464</v>
      </c>
      <c r="G79" s="11" t="s">
        <v>3466</v>
      </c>
      <c r="H79" s="11" t="s">
        <v>3476</v>
      </c>
      <c r="I79" s="11" t="s">
        <v>3477</v>
      </c>
      <c r="J79" s="11" t="s">
        <v>4038</v>
      </c>
      <c r="K79" s="15" t="s">
        <v>3472</v>
      </c>
    </row>
    <row r="80" spans="1:14" ht="17.25" customHeight="1">
      <c r="A80" s="11" t="str">
        <f t="shared" si="1"/>
        <v>E079</v>
      </c>
      <c r="B80" s="11" t="s">
        <v>605</v>
      </c>
      <c r="C80" s="11" t="s">
        <v>3457</v>
      </c>
      <c r="D80" t="s">
        <v>3440</v>
      </c>
      <c r="E80" s="11" t="s">
        <v>3458</v>
      </c>
      <c r="G80" s="11" t="s">
        <v>3446</v>
      </c>
      <c r="H80" s="11" t="s">
        <v>3476</v>
      </c>
      <c r="I80" s="11" t="s">
        <v>3477</v>
      </c>
      <c r="J80" s="11" t="s">
        <v>4038</v>
      </c>
      <c r="K80" s="15" t="s">
        <v>3472</v>
      </c>
    </row>
    <row r="81" spans="1:13" ht="17.25" customHeight="1">
      <c r="A81" s="11" t="str">
        <f t="shared" si="1"/>
        <v>E080</v>
      </c>
      <c r="B81" s="11" t="s">
        <v>2376</v>
      </c>
      <c r="C81" s="11" t="s">
        <v>4024</v>
      </c>
      <c r="D81" t="s">
        <v>3440</v>
      </c>
      <c r="E81" s="11" t="s">
        <v>3448</v>
      </c>
      <c r="F81" s="11" t="s">
        <v>3449</v>
      </c>
      <c r="G81" s="11" t="s">
        <v>3442</v>
      </c>
      <c r="H81" s="11" t="s">
        <v>3476</v>
      </c>
      <c r="I81" s="11" t="s">
        <v>3477</v>
      </c>
      <c r="J81" s="11" t="s">
        <v>4037</v>
      </c>
    </row>
    <row r="82" spans="1:13" ht="17.25" customHeight="1">
      <c r="A82" s="11" t="str">
        <f t="shared" si="1"/>
        <v>E081</v>
      </c>
      <c r="B82" s="11" t="s">
        <v>460</v>
      </c>
      <c r="C82" s="11" t="s">
        <v>4024</v>
      </c>
      <c r="D82" t="s">
        <v>3440</v>
      </c>
      <c r="E82" s="11" t="s">
        <v>3441</v>
      </c>
      <c r="G82" s="11" t="s">
        <v>3441</v>
      </c>
      <c r="H82" s="11" t="s">
        <v>3498</v>
      </c>
      <c r="I82" s="11" t="s">
        <v>3477</v>
      </c>
      <c r="J82" s="11" t="s">
        <v>4037</v>
      </c>
      <c r="K82" s="15" t="s">
        <v>3472</v>
      </c>
    </row>
    <row r="83" spans="1:13" ht="17.25" customHeight="1">
      <c r="A83" s="11" t="str">
        <f t="shared" si="1"/>
        <v>E082</v>
      </c>
      <c r="B83" s="11" t="s">
        <v>465</v>
      </c>
      <c r="C83" s="11" t="s">
        <v>4026</v>
      </c>
      <c r="D83" t="s">
        <v>3440</v>
      </c>
      <c r="E83" s="11" t="s">
        <v>3458</v>
      </c>
      <c r="G83" s="11" t="s">
        <v>3475</v>
      </c>
      <c r="H83" s="11" t="s">
        <v>3490</v>
      </c>
      <c r="I83" s="11" t="s">
        <v>3477</v>
      </c>
      <c r="J83" s="11" t="s">
        <v>4038</v>
      </c>
      <c r="K83" s="15" t="s">
        <v>3472</v>
      </c>
    </row>
    <row r="84" spans="1:13" ht="17.25" customHeight="1">
      <c r="A84" s="11" t="str">
        <f t="shared" si="1"/>
        <v>E083</v>
      </c>
      <c r="B84" s="11" t="s">
        <v>2140</v>
      </c>
      <c r="C84" s="11" t="s">
        <v>4024</v>
      </c>
      <c r="D84" t="s">
        <v>3440</v>
      </c>
      <c r="E84" s="11" t="s">
        <v>3464</v>
      </c>
      <c r="G84" s="11" t="s">
        <v>3466</v>
      </c>
      <c r="H84" s="11" t="s">
        <v>3498</v>
      </c>
      <c r="I84" s="11" t="s">
        <v>3477</v>
      </c>
      <c r="J84" s="11" t="s">
        <v>4037</v>
      </c>
      <c r="K84" s="15" t="s">
        <v>3472</v>
      </c>
    </row>
    <row r="85" spans="1:13" ht="17.25" customHeight="1">
      <c r="A85" s="11" t="str">
        <f t="shared" si="1"/>
        <v>E084</v>
      </c>
      <c r="B85" s="11" t="s">
        <v>534</v>
      </c>
      <c r="C85" s="11" t="s">
        <v>4024</v>
      </c>
      <c r="D85" s="11" t="s">
        <v>3440</v>
      </c>
      <c r="E85" s="11" t="s">
        <v>3462</v>
      </c>
      <c r="G85" s="11" t="s">
        <v>3446</v>
      </c>
      <c r="H85" s="11" t="s">
        <v>3498</v>
      </c>
      <c r="I85" s="11" t="s">
        <v>3477</v>
      </c>
      <c r="J85" s="11" t="s">
        <v>4038</v>
      </c>
      <c r="K85" s="15" t="s">
        <v>3472</v>
      </c>
    </row>
    <row r="86" spans="1:13" ht="17.25" customHeight="1">
      <c r="A86" s="11" t="str">
        <f t="shared" si="1"/>
        <v>E085</v>
      </c>
      <c r="B86" s="11" t="s">
        <v>538</v>
      </c>
      <c r="C86" s="11" t="s">
        <v>4026</v>
      </c>
      <c r="D86" t="s">
        <v>3440</v>
      </c>
      <c r="E86" s="11" t="s">
        <v>3441</v>
      </c>
      <c r="G86" s="11" t="s">
        <v>3441</v>
      </c>
      <c r="H86" s="11" t="s">
        <v>3498</v>
      </c>
      <c r="I86" s="11" t="s">
        <v>3477</v>
      </c>
      <c r="J86" s="11" t="s">
        <v>4038</v>
      </c>
      <c r="K86" s="15" t="s">
        <v>3472</v>
      </c>
    </row>
    <row r="87" spans="1:13" ht="17.25" customHeight="1">
      <c r="A87" s="11" t="str">
        <f t="shared" si="1"/>
        <v>E086</v>
      </c>
      <c r="B87" s="11" t="s">
        <v>1085</v>
      </c>
      <c r="C87" s="11" t="s">
        <v>4026</v>
      </c>
      <c r="D87" t="s">
        <v>3440</v>
      </c>
      <c r="E87" s="11" t="s">
        <v>3441</v>
      </c>
      <c r="G87" s="11" t="s">
        <v>3441</v>
      </c>
      <c r="H87" s="11" t="s">
        <v>3498</v>
      </c>
      <c r="I87" s="11" t="s">
        <v>3477</v>
      </c>
      <c r="J87" s="11" t="s">
        <v>4038</v>
      </c>
      <c r="K87" s="15" t="s">
        <v>3472</v>
      </c>
    </row>
    <row r="88" spans="1:13" ht="17.25" customHeight="1">
      <c r="A88" s="11" t="str">
        <f t="shared" si="1"/>
        <v>E087</v>
      </c>
      <c r="B88" s="11" t="s">
        <v>560</v>
      </c>
      <c r="C88" s="11" t="s">
        <v>4024</v>
      </c>
      <c r="D88" t="s">
        <v>3440</v>
      </c>
      <c r="E88" s="11" t="s">
        <v>3441</v>
      </c>
      <c r="G88" s="11" t="s">
        <v>3446</v>
      </c>
      <c r="H88" s="11" t="s">
        <v>3498</v>
      </c>
      <c r="I88" s="11" t="s">
        <v>3477</v>
      </c>
      <c r="J88" s="11" t="s">
        <v>4038</v>
      </c>
      <c r="K88" s="15" t="s">
        <v>3472</v>
      </c>
    </row>
    <row r="89" spans="1:13" ht="17.25" customHeight="1">
      <c r="A89" s="11" t="str">
        <f t="shared" si="1"/>
        <v>E088</v>
      </c>
      <c r="B89" s="11" t="s">
        <v>569</v>
      </c>
      <c r="C89" s="11" t="s">
        <v>4028</v>
      </c>
      <c r="D89" t="s">
        <v>3440</v>
      </c>
      <c r="E89" s="11" t="s">
        <v>3441</v>
      </c>
      <c r="G89" s="11" t="s">
        <v>3466</v>
      </c>
      <c r="H89" s="11" t="s">
        <v>3490</v>
      </c>
      <c r="I89" s="11" t="s">
        <v>3477</v>
      </c>
      <c r="J89" s="11" t="s">
        <v>4038</v>
      </c>
      <c r="K89" s="15" t="s">
        <v>3472</v>
      </c>
    </row>
    <row r="90" spans="1:13" ht="17.25" customHeight="1">
      <c r="A90" s="11" t="str">
        <f t="shared" si="1"/>
        <v>E089</v>
      </c>
      <c r="B90" s="11" t="s">
        <v>800</v>
      </c>
      <c r="C90" s="11" t="s">
        <v>4024</v>
      </c>
      <c r="D90" t="s">
        <v>3440</v>
      </c>
      <c r="E90" s="11" t="s">
        <v>3441</v>
      </c>
      <c r="G90" s="11" t="s">
        <v>3441</v>
      </c>
      <c r="H90" s="11" t="s">
        <v>3490</v>
      </c>
      <c r="I90" s="11" t="s">
        <v>3477</v>
      </c>
      <c r="J90" s="11" t="s">
        <v>4038</v>
      </c>
      <c r="K90" s="15" t="s">
        <v>3472</v>
      </c>
    </row>
    <row r="91" spans="1:13" ht="17.25" customHeight="1">
      <c r="A91" s="11" t="str">
        <f t="shared" si="1"/>
        <v>E090</v>
      </c>
      <c r="B91" s="11" t="s">
        <v>293</v>
      </c>
      <c r="C91" s="11" t="s">
        <v>4024</v>
      </c>
      <c r="D91" t="s">
        <v>3440</v>
      </c>
      <c r="E91" s="11" t="s">
        <v>3448</v>
      </c>
      <c r="F91" s="11" t="s">
        <v>3449</v>
      </c>
      <c r="G91" s="11" t="s">
        <v>3455</v>
      </c>
      <c r="H91" s="11" t="s">
        <v>3499</v>
      </c>
      <c r="I91" s="11" t="s">
        <v>3477</v>
      </c>
      <c r="J91" s="11" t="s">
        <v>4038</v>
      </c>
      <c r="K91" s="15" t="s">
        <v>3472</v>
      </c>
    </row>
    <row r="92" spans="1:13" ht="17.25" customHeight="1">
      <c r="A92" s="11" t="str">
        <f t="shared" si="1"/>
        <v>E091</v>
      </c>
      <c r="B92" s="11" t="s">
        <v>2095</v>
      </c>
      <c r="C92" s="11" t="s">
        <v>4024</v>
      </c>
      <c r="D92" t="s">
        <v>3440</v>
      </c>
      <c r="E92" s="11" t="s">
        <v>3458</v>
      </c>
      <c r="G92" s="11" t="s">
        <v>3455</v>
      </c>
      <c r="H92" s="11" t="s">
        <v>3500</v>
      </c>
      <c r="I92" s="11" t="s">
        <v>3477</v>
      </c>
      <c r="J92" s="11" t="s">
        <v>4038</v>
      </c>
      <c r="K92" s="15" t="s">
        <v>3472</v>
      </c>
    </row>
    <row r="93" spans="1:13" ht="17.25" customHeight="1">
      <c r="A93" s="11" t="str">
        <f t="shared" si="1"/>
        <v>E092</v>
      </c>
      <c r="B93" s="11" t="s">
        <v>3501</v>
      </c>
      <c r="C93" s="11" t="s">
        <v>4024</v>
      </c>
      <c r="D93" t="s">
        <v>3440</v>
      </c>
      <c r="E93" s="11" t="s">
        <v>3441</v>
      </c>
      <c r="G93" s="11" t="s">
        <v>3441</v>
      </c>
      <c r="H93" s="11" t="s">
        <v>3500</v>
      </c>
      <c r="I93" s="11" t="s">
        <v>3477</v>
      </c>
      <c r="J93" s="11" t="s">
        <v>4037</v>
      </c>
      <c r="K93" s="15" t="s">
        <v>3472</v>
      </c>
    </row>
    <row r="94" spans="1:13" ht="17.25" customHeight="1">
      <c r="A94" s="11" t="str">
        <f t="shared" si="1"/>
        <v>E093</v>
      </c>
      <c r="B94" s="11" t="s">
        <v>2288</v>
      </c>
      <c r="C94" s="11" t="s">
        <v>4028</v>
      </c>
      <c r="D94" s="16" t="s">
        <v>3440</v>
      </c>
      <c r="E94" s="11" t="s">
        <v>3458</v>
      </c>
      <c r="G94" s="11" t="s">
        <v>3446</v>
      </c>
      <c r="H94" s="11" t="s">
        <v>3499</v>
      </c>
      <c r="I94" s="11" t="s">
        <v>3477</v>
      </c>
      <c r="J94" s="11" t="s">
        <v>4039</v>
      </c>
      <c r="K94" s="15" t="s">
        <v>3472</v>
      </c>
      <c r="L94" s="11" t="s">
        <v>3502</v>
      </c>
      <c r="M94" s="11" t="s">
        <v>3503</v>
      </c>
    </row>
    <row r="95" spans="1:13" ht="17.25" customHeight="1">
      <c r="A95" s="11" t="str">
        <f t="shared" si="1"/>
        <v>E094</v>
      </c>
      <c r="B95" s="11" t="s">
        <v>1790</v>
      </c>
      <c r="C95" s="11" t="s">
        <v>4023</v>
      </c>
      <c r="D95" s="11" t="s">
        <v>3440</v>
      </c>
      <c r="E95" s="11" t="s">
        <v>3441</v>
      </c>
      <c r="G95" s="11" t="s">
        <v>3441</v>
      </c>
      <c r="H95" s="11" t="s">
        <v>3500</v>
      </c>
      <c r="I95" s="11" t="s">
        <v>3477</v>
      </c>
      <c r="J95" s="11" t="s">
        <v>4038</v>
      </c>
      <c r="K95" s="15" t="s">
        <v>3472</v>
      </c>
    </row>
    <row r="96" spans="1:13" ht="17.25" customHeight="1">
      <c r="A96" s="11" t="str">
        <f t="shared" si="1"/>
        <v>E095</v>
      </c>
      <c r="B96" s="11" t="s">
        <v>206</v>
      </c>
      <c r="C96" s="11" t="s">
        <v>4024</v>
      </c>
      <c r="D96" t="s">
        <v>3440</v>
      </c>
      <c r="E96" s="11" t="s">
        <v>3441</v>
      </c>
      <c r="G96" s="11" t="s">
        <v>3441</v>
      </c>
      <c r="H96" s="11" t="s">
        <v>3500</v>
      </c>
      <c r="I96" s="11" t="s">
        <v>3477</v>
      </c>
      <c r="J96" s="11" t="s">
        <v>4037</v>
      </c>
      <c r="K96" s="15" t="s">
        <v>3472</v>
      </c>
    </row>
    <row r="97" spans="1:14" ht="17.25" customHeight="1">
      <c r="A97" s="11" t="str">
        <f t="shared" si="1"/>
        <v>E096</v>
      </c>
      <c r="B97" s="11" t="s">
        <v>586</v>
      </c>
      <c r="C97" s="11" t="s">
        <v>4029</v>
      </c>
      <c r="D97" s="11" t="s">
        <v>3440</v>
      </c>
      <c r="E97" s="11" t="s">
        <v>3462</v>
      </c>
      <c r="G97" s="11" t="s">
        <v>3466</v>
      </c>
      <c r="H97" s="11" t="s">
        <v>3500</v>
      </c>
      <c r="I97" s="11" t="s">
        <v>3477</v>
      </c>
      <c r="J97" s="11" t="s">
        <v>4038</v>
      </c>
      <c r="K97" s="15" t="s">
        <v>3472</v>
      </c>
    </row>
    <row r="98" spans="1:14" ht="17.25" customHeight="1">
      <c r="A98" s="11" t="str">
        <f t="shared" si="1"/>
        <v>E097</v>
      </c>
      <c r="B98" s="11" t="s">
        <v>3504</v>
      </c>
      <c r="C98" s="11" t="s">
        <v>4023</v>
      </c>
      <c r="D98" t="s">
        <v>3440</v>
      </c>
      <c r="E98" s="11" t="s">
        <v>3441</v>
      </c>
      <c r="G98" s="11" t="s">
        <v>3466</v>
      </c>
      <c r="H98" s="11" t="s">
        <v>3499</v>
      </c>
      <c r="I98" s="11" t="s">
        <v>3477</v>
      </c>
      <c r="J98" s="11" t="s">
        <v>4038</v>
      </c>
      <c r="K98" s="15" t="s">
        <v>3472</v>
      </c>
    </row>
    <row r="99" spans="1:14" ht="17.25" customHeight="1">
      <c r="A99" s="11" t="str">
        <f t="shared" si="1"/>
        <v>E098</v>
      </c>
      <c r="B99" s="11" t="s">
        <v>2313</v>
      </c>
      <c r="C99" s="11" t="s">
        <v>4024</v>
      </c>
      <c r="D99" t="s">
        <v>3440</v>
      </c>
      <c r="E99" s="11" t="s">
        <v>3441</v>
      </c>
      <c r="G99" s="11" t="s">
        <v>3441</v>
      </c>
      <c r="H99" s="11" t="s">
        <v>3499</v>
      </c>
      <c r="I99" s="11" t="s">
        <v>3477</v>
      </c>
      <c r="J99" s="11" t="s">
        <v>4039</v>
      </c>
      <c r="K99" s="22" t="s">
        <v>3472</v>
      </c>
    </row>
    <row r="100" spans="1:14" ht="17.25" customHeight="1">
      <c r="A100" s="11" t="str">
        <f t="shared" si="1"/>
        <v>E099</v>
      </c>
      <c r="B100" s="11" t="s">
        <v>3505</v>
      </c>
      <c r="C100" s="11" t="s">
        <v>4033</v>
      </c>
      <c r="D100" t="s">
        <v>3440</v>
      </c>
      <c r="E100" s="11" t="s">
        <v>3441</v>
      </c>
      <c r="G100" s="11" t="s">
        <v>3446</v>
      </c>
      <c r="H100" s="11" t="s">
        <v>3479</v>
      </c>
      <c r="I100" s="11" t="s">
        <v>3477</v>
      </c>
      <c r="J100" s="11" t="s">
        <v>4039</v>
      </c>
      <c r="K100" s="15" t="s">
        <v>3472</v>
      </c>
      <c r="L100" s="11" t="s">
        <v>3482</v>
      </c>
      <c r="N100" s="11" t="s">
        <v>390</v>
      </c>
    </row>
    <row r="101" spans="1:14" ht="17.25" customHeight="1">
      <c r="A101" s="11" t="str">
        <f t="shared" si="1"/>
        <v>E100</v>
      </c>
      <c r="B101" s="11" t="s">
        <v>1099</v>
      </c>
      <c r="C101" s="11" t="s">
        <v>4027</v>
      </c>
      <c r="D101" t="s">
        <v>3440</v>
      </c>
      <c r="E101" s="11" t="s">
        <v>3486</v>
      </c>
      <c r="G101" s="11" t="s">
        <v>3455</v>
      </c>
      <c r="H101" s="11" t="s">
        <v>3506</v>
      </c>
      <c r="I101" s="11" t="s">
        <v>3477</v>
      </c>
      <c r="J101" s="11" t="s">
        <v>4039</v>
      </c>
      <c r="K101" s="15" t="s">
        <v>3472</v>
      </c>
      <c r="L101" s="11" t="s">
        <v>3485</v>
      </c>
      <c r="N101" s="11" t="s">
        <v>390</v>
      </c>
    </row>
    <row r="102" spans="1:14" ht="17.25" customHeight="1">
      <c r="A102" s="11" t="str">
        <f t="shared" si="1"/>
        <v>E101</v>
      </c>
      <c r="B102" s="11" t="s">
        <v>689</v>
      </c>
      <c r="C102" s="11" t="s">
        <v>4029</v>
      </c>
      <c r="D102" t="s">
        <v>3440</v>
      </c>
      <c r="E102" s="11" t="s">
        <v>3451</v>
      </c>
      <c r="G102" s="11" t="s">
        <v>3446</v>
      </c>
      <c r="H102" s="11" t="s">
        <v>3479</v>
      </c>
      <c r="I102" s="11" t="s">
        <v>3477</v>
      </c>
      <c r="J102" s="11" t="s">
        <v>4038</v>
      </c>
      <c r="K102" s="15" t="s">
        <v>3472</v>
      </c>
    </row>
    <row r="103" spans="1:14" ht="17.25" customHeight="1">
      <c r="A103" s="11" t="str">
        <f t="shared" si="1"/>
        <v>E102</v>
      </c>
      <c r="B103" s="11" t="s">
        <v>3507</v>
      </c>
      <c r="C103" s="11" t="s">
        <v>4026</v>
      </c>
      <c r="D103" t="s">
        <v>3440</v>
      </c>
      <c r="E103" s="11" t="s">
        <v>3468</v>
      </c>
      <c r="G103" s="11" t="s">
        <v>3442</v>
      </c>
      <c r="H103" s="11" t="s">
        <v>3479</v>
      </c>
      <c r="I103" s="11" t="s">
        <v>3477</v>
      </c>
      <c r="J103" s="11" t="s">
        <v>4038</v>
      </c>
      <c r="K103" s="15" t="s">
        <v>3472</v>
      </c>
    </row>
    <row r="104" spans="1:14" ht="17.25" customHeight="1">
      <c r="A104" s="11" t="str">
        <f t="shared" si="1"/>
        <v>E103</v>
      </c>
      <c r="B104" s="11" t="s">
        <v>972</v>
      </c>
      <c r="C104" s="11" t="s">
        <v>4029</v>
      </c>
      <c r="D104" t="s">
        <v>3440</v>
      </c>
      <c r="E104" s="11" t="s">
        <v>3441</v>
      </c>
      <c r="G104" s="11" t="s">
        <v>3455</v>
      </c>
      <c r="H104" s="11" t="s">
        <v>3490</v>
      </c>
      <c r="I104" s="11" t="s">
        <v>3477</v>
      </c>
      <c r="J104" s="11" t="s">
        <v>4038</v>
      </c>
      <c r="K104" s="15" t="s">
        <v>3472</v>
      </c>
    </row>
    <row r="105" spans="1:14" ht="17.25" customHeight="1">
      <c r="A105" s="11" t="str">
        <f t="shared" si="1"/>
        <v>E104</v>
      </c>
      <c r="B105" s="11" t="s">
        <v>3508</v>
      </c>
      <c r="C105" s="11" t="s">
        <v>4024</v>
      </c>
      <c r="D105" t="s">
        <v>3440</v>
      </c>
      <c r="E105" s="11" t="s">
        <v>3448</v>
      </c>
      <c r="F105" s="11" t="s">
        <v>3449</v>
      </c>
      <c r="G105" s="11" t="s">
        <v>3442</v>
      </c>
      <c r="H105" s="11" t="s">
        <v>3506</v>
      </c>
      <c r="I105" s="11" t="s">
        <v>3477</v>
      </c>
      <c r="J105" s="11" t="s">
        <v>4037</v>
      </c>
      <c r="K105" s="15" t="s">
        <v>3472</v>
      </c>
    </row>
    <row r="106" spans="1:14" ht="17.25" customHeight="1">
      <c r="A106" s="11" t="str">
        <f t="shared" si="1"/>
        <v>E105</v>
      </c>
      <c r="B106" s="11" t="s">
        <v>2129</v>
      </c>
      <c r="C106" s="11" t="s">
        <v>4029</v>
      </c>
      <c r="D106" t="s">
        <v>3440</v>
      </c>
      <c r="E106" s="11" t="s">
        <v>3464</v>
      </c>
      <c r="G106" s="11" t="s">
        <v>3466</v>
      </c>
      <c r="H106" s="11" t="s">
        <v>3479</v>
      </c>
      <c r="I106" s="11" t="s">
        <v>3477</v>
      </c>
      <c r="J106" s="11" t="s">
        <v>4039</v>
      </c>
      <c r="K106" s="15" t="s">
        <v>3472</v>
      </c>
      <c r="L106" s="11" t="s">
        <v>3482</v>
      </c>
      <c r="N106" s="11" t="s">
        <v>390</v>
      </c>
    </row>
    <row r="107" spans="1:14" ht="17.25" customHeight="1">
      <c r="A107" s="11" t="str">
        <f t="shared" si="1"/>
        <v>E106</v>
      </c>
      <c r="B107" s="11" t="s">
        <v>1105</v>
      </c>
      <c r="C107" s="11" t="s">
        <v>4024</v>
      </c>
      <c r="D107" t="s">
        <v>3440</v>
      </c>
      <c r="E107" s="11" t="s">
        <v>3458</v>
      </c>
      <c r="G107" s="11" t="s">
        <v>3446</v>
      </c>
      <c r="H107" s="11" t="s">
        <v>3506</v>
      </c>
      <c r="I107" s="11" t="s">
        <v>3477</v>
      </c>
      <c r="J107" s="11" t="s">
        <v>4038</v>
      </c>
      <c r="K107" s="15" t="s">
        <v>3472</v>
      </c>
    </row>
    <row r="108" spans="1:14" ht="17.25" customHeight="1">
      <c r="A108" s="11" t="str">
        <f t="shared" si="1"/>
        <v>E107</v>
      </c>
      <c r="B108" s="11" t="s">
        <v>800</v>
      </c>
      <c r="C108" s="11" t="s">
        <v>4024</v>
      </c>
      <c r="D108" s="11" t="s">
        <v>3440</v>
      </c>
      <c r="E108" s="11" t="s">
        <v>3441</v>
      </c>
      <c r="F108" s="11" t="s">
        <v>3441</v>
      </c>
      <c r="G108" s="11" t="s">
        <v>3441</v>
      </c>
      <c r="H108" s="11" t="s">
        <v>3506</v>
      </c>
      <c r="I108" s="11" t="s">
        <v>3477</v>
      </c>
      <c r="J108" s="11" t="s">
        <v>4038</v>
      </c>
      <c r="K108" s="15" t="s">
        <v>3472</v>
      </c>
      <c r="L108" s="11" t="s">
        <v>3509</v>
      </c>
    </row>
    <row r="109" spans="1:14" ht="17.25" customHeight="1">
      <c r="A109" s="11" t="str">
        <f t="shared" si="1"/>
        <v>E108</v>
      </c>
      <c r="B109" s="11" t="s">
        <v>442</v>
      </c>
      <c r="C109" s="11" t="s">
        <v>4023</v>
      </c>
      <c r="D109" s="16" t="s">
        <v>3440</v>
      </c>
      <c r="E109" s="11" t="s">
        <v>3441</v>
      </c>
      <c r="F109" s="11" t="s">
        <v>3441</v>
      </c>
      <c r="G109" s="11" t="s">
        <v>3466</v>
      </c>
      <c r="H109" s="11" t="s">
        <v>3479</v>
      </c>
      <c r="I109" s="11" t="s">
        <v>3477</v>
      </c>
      <c r="J109" s="11" t="s">
        <v>4039</v>
      </c>
      <c r="K109" s="15" t="s">
        <v>3472</v>
      </c>
    </row>
    <row r="110" spans="1:14" ht="17.25" customHeight="1">
      <c r="A110" s="11" t="str">
        <f t="shared" si="1"/>
        <v>E109</v>
      </c>
      <c r="B110" s="11" t="s">
        <v>526</v>
      </c>
      <c r="C110" s="11" t="s">
        <v>4029</v>
      </c>
      <c r="D110" s="16" t="s">
        <v>3440</v>
      </c>
      <c r="E110" s="11" t="s">
        <v>3462</v>
      </c>
      <c r="F110" s="11" t="s">
        <v>3463</v>
      </c>
      <c r="G110" s="11" t="s">
        <v>3475</v>
      </c>
      <c r="H110" s="11" t="s">
        <v>3479</v>
      </c>
      <c r="I110" s="11" t="s">
        <v>3477</v>
      </c>
      <c r="J110" s="11" t="s">
        <v>4036</v>
      </c>
      <c r="K110" s="15" t="s">
        <v>3472</v>
      </c>
      <c r="L110" s="11" t="s">
        <v>3509</v>
      </c>
      <c r="N110" s="11" t="s">
        <v>60</v>
      </c>
    </row>
    <row r="111" spans="1:14" ht="17.25" customHeight="1">
      <c r="A111" s="11" t="str">
        <f t="shared" si="1"/>
        <v>E110</v>
      </c>
      <c r="B111" s="11" t="s">
        <v>1262</v>
      </c>
      <c r="C111" s="11" t="s">
        <v>4030</v>
      </c>
      <c r="D111" s="16" t="s">
        <v>3440</v>
      </c>
      <c r="E111" s="11" t="s">
        <v>3448</v>
      </c>
      <c r="F111" s="11" t="s">
        <v>3449</v>
      </c>
      <c r="G111" s="11" t="s">
        <v>3442</v>
      </c>
      <c r="H111" s="11" t="s">
        <v>3490</v>
      </c>
      <c r="I111" s="11" t="s">
        <v>3444</v>
      </c>
      <c r="J111" s="11" t="s">
        <v>4039</v>
      </c>
      <c r="K111" s="15" t="s">
        <v>3472</v>
      </c>
    </row>
    <row r="112" spans="1:14" ht="23.25" customHeight="1">
      <c r="A112" s="11" t="str">
        <f t="shared" si="1"/>
        <v>E111</v>
      </c>
      <c r="B112" s="11" t="s">
        <v>1268</v>
      </c>
      <c r="C112" s="11" t="s">
        <v>4033</v>
      </c>
      <c r="D112" s="16" t="s">
        <v>3440</v>
      </c>
      <c r="E112" s="11" t="s">
        <v>3464</v>
      </c>
      <c r="F112" s="11" t="s">
        <v>3465</v>
      </c>
      <c r="G112" s="11" t="s">
        <v>3466</v>
      </c>
      <c r="H112" s="11" t="s">
        <v>3476</v>
      </c>
      <c r="I112" s="11" t="s">
        <v>3444</v>
      </c>
      <c r="J112" s="11" t="s">
        <v>4039</v>
      </c>
      <c r="K112" s="15" t="s">
        <v>3472</v>
      </c>
    </row>
    <row r="113" spans="1:15" ht="17.25" customHeight="1">
      <c r="A113" s="11" t="str">
        <f t="shared" si="1"/>
        <v>E112</v>
      </c>
      <c r="B113" s="11" t="s">
        <v>3511</v>
      </c>
      <c r="C113" s="11" t="s">
        <v>4026</v>
      </c>
      <c r="D113" t="s">
        <v>3440</v>
      </c>
      <c r="E113" s="11" t="s">
        <v>3441</v>
      </c>
      <c r="F113" s="11" t="s">
        <v>3441</v>
      </c>
      <c r="G113" s="11" t="s">
        <v>3442</v>
      </c>
      <c r="H113" s="11" t="s">
        <v>3476</v>
      </c>
      <c r="I113" s="11" t="s">
        <v>3477</v>
      </c>
      <c r="J113" s="11" t="s">
        <v>4036</v>
      </c>
      <c r="K113" s="15" t="s">
        <v>3472</v>
      </c>
      <c r="L113" s="11" t="s">
        <v>3502</v>
      </c>
      <c r="M113" s="81" t="s">
        <v>3512</v>
      </c>
      <c r="N113" s="11" t="s">
        <v>3513</v>
      </c>
      <c r="O113" s="11">
        <v>8340</v>
      </c>
    </row>
    <row r="114" spans="1:15" ht="17.25" customHeight="1">
      <c r="A114" s="11" t="str">
        <f t="shared" si="1"/>
        <v>E113</v>
      </c>
      <c r="B114" s="11" t="s">
        <v>605</v>
      </c>
      <c r="C114" s="11" t="s">
        <v>4034</v>
      </c>
      <c r="D114" s="16" t="s">
        <v>3440</v>
      </c>
      <c r="E114" s="11" t="s">
        <v>3462</v>
      </c>
      <c r="G114" s="11" t="s">
        <v>3466</v>
      </c>
      <c r="H114" s="11" t="s">
        <v>3476</v>
      </c>
      <c r="I114" s="11" t="s">
        <v>3477</v>
      </c>
      <c r="J114" s="11" t="s">
        <v>4038</v>
      </c>
      <c r="K114" s="15" t="s">
        <v>3472</v>
      </c>
      <c r="L114" s="11" t="s">
        <v>3482</v>
      </c>
    </row>
    <row r="115" spans="1:15" ht="17.25" customHeight="1">
      <c r="A115" s="11" t="str">
        <f t="shared" si="1"/>
        <v>E114</v>
      </c>
      <c r="B115" s="11" t="s">
        <v>3048</v>
      </c>
      <c r="C115" s="11" t="s">
        <v>4026</v>
      </c>
      <c r="D115" s="16" t="s">
        <v>3440</v>
      </c>
      <c r="E115" s="11" t="s">
        <v>3468</v>
      </c>
      <c r="G115" s="11" t="s">
        <v>3466</v>
      </c>
      <c r="H115" s="11" t="s">
        <v>3476</v>
      </c>
      <c r="I115" s="11" t="s">
        <v>3477</v>
      </c>
      <c r="J115" s="11" t="s">
        <v>4039</v>
      </c>
      <c r="K115" s="15" t="s">
        <v>3472</v>
      </c>
      <c r="L115" s="11" t="s">
        <v>3509</v>
      </c>
    </row>
    <row r="116" spans="1:15" ht="25.5" customHeight="1">
      <c r="A116" s="11" t="str">
        <f t="shared" si="1"/>
        <v>E115</v>
      </c>
      <c r="B116" s="11" t="s">
        <v>2976</v>
      </c>
      <c r="C116" s="11" t="s">
        <v>4023</v>
      </c>
      <c r="D116" s="16" t="s">
        <v>3440</v>
      </c>
      <c r="E116" s="11" t="s">
        <v>3486</v>
      </c>
      <c r="G116" s="11" t="s">
        <v>3493</v>
      </c>
      <c r="H116" s="11" t="s">
        <v>3476</v>
      </c>
      <c r="I116" s="11" t="s">
        <v>3477</v>
      </c>
      <c r="J116" s="11" t="s">
        <v>4039</v>
      </c>
      <c r="K116" s="15" t="s">
        <v>3472</v>
      </c>
      <c r="L116" s="11" t="s">
        <v>3502</v>
      </c>
    </row>
    <row r="117" spans="1:15" ht="37.5" customHeight="1">
      <c r="A117" s="11" t="str">
        <f t="shared" si="1"/>
        <v>E116</v>
      </c>
      <c r="B117" s="11" t="s">
        <v>1274</v>
      </c>
      <c r="C117" s="11" t="s">
        <v>4023</v>
      </c>
      <c r="D117" s="12" t="s">
        <v>3440</v>
      </c>
      <c r="E117" s="11" t="s">
        <v>3441</v>
      </c>
      <c r="F117" s="11" t="s">
        <v>3441</v>
      </c>
      <c r="G117" s="11" t="s">
        <v>3446</v>
      </c>
      <c r="H117" s="11" t="s">
        <v>3476</v>
      </c>
      <c r="I117" s="11" t="s">
        <v>3444</v>
      </c>
      <c r="J117" s="11" t="s">
        <v>4039</v>
      </c>
      <c r="K117" s="15" t="s">
        <v>3472</v>
      </c>
    </row>
    <row r="118" spans="1:15" ht="24.75" customHeight="1">
      <c r="A118" s="11" t="str">
        <f t="shared" si="1"/>
        <v>E117</v>
      </c>
      <c r="B118" s="11" t="s">
        <v>1290</v>
      </c>
      <c r="C118" s="11" t="s">
        <v>4024</v>
      </c>
      <c r="D118" s="12" t="s">
        <v>3440</v>
      </c>
      <c r="E118" s="11" t="s">
        <v>3448</v>
      </c>
      <c r="F118" s="11" t="s">
        <v>3449</v>
      </c>
      <c r="G118" s="11" t="s">
        <v>3455</v>
      </c>
      <c r="H118" s="11" t="s">
        <v>3476</v>
      </c>
      <c r="I118" s="11" t="s">
        <v>3444</v>
      </c>
      <c r="J118" s="11" t="s">
        <v>4036</v>
      </c>
      <c r="K118" s="15" t="s">
        <v>3472</v>
      </c>
      <c r="M118" s="11" t="s">
        <v>3515</v>
      </c>
      <c r="N118" s="11" t="s">
        <v>3516</v>
      </c>
      <c r="O118" s="11">
        <v>11480</v>
      </c>
    </row>
    <row r="119" spans="1:15" ht="22.5" customHeight="1">
      <c r="A119" s="11" t="str">
        <f t="shared" si="1"/>
        <v>E118</v>
      </c>
      <c r="B119" s="11" t="s">
        <v>730</v>
      </c>
      <c r="C119" s="11" t="s">
        <v>4023</v>
      </c>
      <c r="D119" s="12" t="s">
        <v>3440</v>
      </c>
      <c r="E119" s="11" t="s">
        <v>3441</v>
      </c>
      <c r="F119" s="11" t="s">
        <v>3441</v>
      </c>
      <c r="G119" s="11" t="s">
        <v>3446</v>
      </c>
      <c r="H119" s="11" t="s">
        <v>3498</v>
      </c>
      <c r="I119" s="11" t="s">
        <v>3444</v>
      </c>
      <c r="J119" s="11" t="s">
        <v>4036</v>
      </c>
      <c r="K119" s="15" t="s">
        <v>3472</v>
      </c>
      <c r="M119" s="11" t="s">
        <v>3517</v>
      </c>
      <c r="N119" s="11" t="s">
        <v>3518</v>
      </c>
      <c r="O119" s="11">
        <v>11880</v>
      </c>
    </row>
    <row r="120" spans="1:15" ht="17.25" customHeight="1">
      <c r="A120" s="11" t="str">
        <f t="shared" si="1"/>
        <v>E119</v>
      </c>
      <c r="B120" s="11" t="s">
        <v>442</v>
      </c>
      <c r="C120" s="11" t="s">
        <v>4024</v>
      </c>
      <c r="D120" s="12" t="s">
        <v>3440</v>
      </c>
      <c r="E120" s="11" t="s">
        <v>3458</v>
      </c>
      <c r="F120" s="11" t="s">
        <v>3459</v>
      </c>
      <c r="G120" s="11" t="s">
        <v>3446</v>
      </c>
      <c r="H120" s="11" t="s">
        <v>3498</v>
      </c>
      <c r="I120" s="11" t="s">
        <v>3444</v>
      </c>
      <c r="J120" s="11" t="s">
        <v>4036</v>
      </c>
      <c r="K120" s="15" t="s">
        <v>3472</v>
      </c>
      <c r="M120" s="11" t="s">
        <v>3519</v>
      </c>
      <c r="N120" s="11" t="s">
        <v>3518</v>
      </c>
      <c r="O120" s="11">
        <v>45000</v>
      </c>
    </row>
    <row r="121" spans="1:15" ht="17.25" customHeight="1">
      <c r="A121" s="11" t="str">
        <f t="shared" si="1"/>
        <v>E120</v>
      </c>
      <c r="B121" s="11" t="s">
        <v>574</v>
      </c>
      <c r="C121" s="11" t="s">
        <v>4023</v>
      </c>
      <c r="D121" s="16" t="s">
        <v>3440</v>
      </c>
      <c r="E121" s="11" t="s">
        <v>3451</v>
      </c>
      <c r="G121" s="11" t="s">
        <v>3493</v>
      </c>
      <c r="H121" s="11" t="s">
        <v>3498</v>
      </c>
      <c r="I121" s="11" t="s">
        <v>3477</v>
      </c>
      <c r="J121" s="11" t="s">
        <v>4039</v>
      </c>
      <c r="K121" s="15" t="s">
        <v>3472</v>
      </c>
      <c r="L121" s="11" t="s">
        <v>3502</v>
      </c>
    </row>
    <row r="122" spans="1:15" ht="24" customHeight="1">
      <c r="A122" s="11" t="str">
        <f t="shared" si="1"/>
        <v>E121</v>
      </c>
      <c r="B122" s="11" t="s">
        <v>610</v>
      </c>
      <c r="C122" s="11" t="s">
        <v>4023</v>
      </c>
      <c r="D122" t="s">
        <v>3440</v>
      </c>
      <c r="E122" s="11" t="s">
        <v>3468</v>
      </c>
      <c r="G122" s="11" t="s">
        <v>3442</v>
      </c>
      <c r="H122" s="11" t="s">
        <v>3479</v>
      </c>
      <c r="I122" s="11" t="s">
        <v>3477</v>
      </c>
      <c r="J122" s="11" t="s">
        <v>4039</v>
      </c>
      <c r="K122" s="15" t="s">
        <v>3472</v>
      </c>
      <c r="L122" s="11" t="s">
        <v>3509</v>
      </c>
    </row>
    <row r="123" spans="1:15" ht="17.25" customHeight="1">
      <c r="A123" s="11" t="str">
        <f t="shared" si="1"/>
        <v>E122</v>
      </c>
      <c r="B123" s="11" t="s">
        <v>3520</v>
      </c>
      <c r="C123" s="11" t="s">
        <v>4023</v>
      </c>
      <c r="D123" s="16" t="s">
        <v>3440</v>
      </c>
      <c r="E123" s="11" t="s">
        <v>3441</v>
      </c>
      <c r="G123" s="11" t="s">
        <v>3466</v>
      </c>
      <c r="H123" s="11" t="s">
        <v>3479</v>
      </c>
      <c r="I123" s="11" t="s">
        <v>3477</v>
      </c>
      <c r="J123" s="11" t="s">
        <v>4039</v>
      </c>
      <c r="K123" s="15" t="s">
        <v>3472</v>
      </c>
      <c r="L123" s="11" t="s">
        <v>3509</v>
      </c>
    </row>
    <row r="124" spans="1:15" ht="17.25" customHeight="1">
      <c r="A124" s="11" t="str">
        <f t="shared" si="1"/>
        <v>E123</v>
      </c>
      <c r="B124" s="11" t="s">
        <v>3508</v>
      </c>
      <c r="C124" s="11" t="s">
        <v>4029</v>
      </c>
      <c r="D124" s="16" t="s">
        <v>3440</v>
      </c>
      <c r="E124" s="11" t="s">
        <v>3458</v>
      </c>
      <c r="G124" s="11" t="s">
        <v>3475</v>
      </c>
      <c r="H124" s="11" t="s">
        <v>3490</v>
      </c>
      <c r="I124" s="11" t="s">
        <v>3477</v>
      </c>
      <c r="J124" s="11" t="s">
        <v>4039</v>
      </c>
      <c r="K124" s="15" t="s">
        <v>3472</v>
      </c>
      <c r="L124" s="11" t="s">
        <v>3485</v>
      </c>
    </row>
    <row r="125" spans="1:15" ht="17.25" customHeight="1">
      <c r="A125" s="11" t="str">
        <f t="shared" si="1"/>
        <v>E124</v>
      </c>
      <c r="B125" s="11" t="s">
        <v>1328</v>
      </c>
      <c r="C125" s="11" t="s">
        <v>4023</v>
      </c>
      <c r="D125" s="12" t="s">
        <v>3440</v>
      </c>
      <c r="E125" s="11" t="s">
        <v>3451</v>
      </c>
      <c r="G125" s="11" t="s">
        <v>3442</v>
      </c>
      <c r="H125" s="11" t="s">
        <v>3476</v>
      </c>
      <c r="I125" s="11" t="s">
        <v>3444</v>
      </c>
      <c r="J125" s="11" t="s">
        <v>4039</v>
      </c>
      <c r="K125" s="15" t="s">
        <v>3472</v>
      </c>
    </row>
    <row r="126" spans="1:15" ht="17.25" customHeight="1">
      <c r="A126" s="11" t="str">
        <f t="shared" si="1"/>
        <v>E125</v>
      </c>
      <c r="B126" s="11" t="s">
        <v>1347</v>
      </c>
      <c r="C126" s="11" t="s">
        <v>3457</v>
      </c>
      <c r="D126" s="12" t="s">
        <v>3440</v>
      </c>
      <c r="E126" s="11" t="s">
        <v>3448</v>
      </c>
      <c r="F126" s="11" t="s">
        <v>3449</v>
      </c>
      <c r="G126" s="11" t="s">
        <v>3442</v>
      </c>
      <c r="H126" s="11" t="s">
        <v>3476</v>
      </c>
      <c r="I126" s="11" t="s">
        <v>3444</v>
      </c>
      <c r="J126" s="11" t="s">
        <v>4038</v>
      </c>
    </row>
    <row r="127" spans="1:15" ht="17.25" customHeight="1">
      <c r="A127" s="11" t="str">
        <f t="shared" si="1"/>
        <v>E126</v>
      </c>
      <c r="B127" s="11" t="s">
        <v>35</v>
      </c>
      <c r="C127" s="11" t="s">
        <v>4031</v>
      </c>
      <c r="D127" s="12" t="s">
        <v>3440</v>
      </c>
      <c r="E127" s="11" t="s">
        <v>3462</v>
      </c>
      <c r="G127" s="11" t="s">
        <v>3442</v>
      </c>
      <c r="H127" s="11" t="s">
        <v>3476</v>
      </c>
      <c r="I127" s="11" t="s">
        <v>3444</v>
      </c>
      <c r="J127" s="11" t="s">
        <v>4037</v>
      </c>
      <c r="K127" s="15" t="s">
        <v>3472</v>
      </c>
    </row>
    <row r="128" spans="1:15" ht="17.25" customHeight="1">
      <c r="A128" s="11" t="str">
        <f t="shared" si="1"/>
        <v>E127</v>
      </c>
      <c r="B128" s="11" t="s">
        <v>1374</v>
      </c>
      <c r="C128" s="11" t="s">
        <v>4026</v>
      </c>
      <c r="D128" s="12" t="s">
        <v>3440</v>
      </c>
      <c r="E128" s="11" t="s">
        <v>3451</v>
      </c>
      <c r="G128" s="11" t="s">
        <v>3446</v>
      </c>
      <c r="H128" s="11" t="s">
        <v>3476</v>
      </c>
      <c r="I128" s="11" t="s">
        <v>3444</v>
      </c>
      <c r="J128" s="11" t="s">
        <v>4038</v>
      </c>
    </row>
    <row r="129" spans="1:11" ht="17.25" customHeight="1">
      <c r="A129" s="11" t="str">
        <f t="shared" si="1"/>
        <v>E128</v>
      </c>
      <c r="B129" s="11" t="s">
        <v>135</v>
      </c>
      <c r="C129" s="11" t="s">
        <v>4028</v>
      </c>
      <c r="D129" s="12" t="s">
        <v>3440</v>
      </c>
      <c r="E129" s="11" t="s">
        <v>3441</v>
      </c>
      <c r="G129" s="11" t="s">
        <v>3446</v>
      </c>
      <c r="H129" s="11" t="s">
        <v>3490</v>
      </c>
      <c r="I129" s="11" t="s">
        <v>3444</v>
      </c>
      <c r="J129" s="11" t="s">
        <v>4035</v>
      </c>
      <c r="K129" s="15" t="s">
        <v>3472</v>
      </c>
    </row>
    <row r="130" spans="1:11" ht="17.25" customHeight="1">
      <c r="A130" s="11" t="str">
        <f t="shared" ref="A130:A193" si="2">_xlfn.CONCAT("E",TEXT(ROW()-1,"000"))</f>
        <v>E129</v>
      </c>
      <c r="B130" s="11" t="s">
        <v>1412</v>
      </c>
      <c r="C130" s="18" t="s">
        <v>4034</v>
      </c>
      <c r="D130" s="12" t="s">
        <v>3440</v>
      </c>
      <c r="E130" s="11" t="s">
        <v>3441</v>
      </c>
      <c r="G130" s="11" t="s">
        <v>3441</v>
      </c>
      <c r="H130" s="11" t="s">
        <v>3498</v>
      </c>
      <c r="I130" s="11" t="s">
        <v>3444</v>
      </c>
      <c r="J130" s="11" t="s">
        <v>4039</v>
      </c>
    </row>
    <row r="131" spans="1:11" ht="17.25" customHeight="1">
      <c r="A131" s="11" t="str">
        <f t="shared" si="2"/>
        <v>E130</v>
      </c>
      <c r="B131" s="11" t="s">
        <v>1256</v>
      </c>
      <c r="C131" s="11" t="s">
        <v>4029</v>
      </c>
      <c r="D131" t="s">
        <v>3440</v>
      </c>
      <c r="E131" s="11" t="s">
        <v>3448</v>
      </c>
      <c r="F131" s="11" t="s">
        <v>3449</v>
      </c>
      <c r="G131" s="11" t="s">
        <v>3446</v>
      </c>
      <c r="H131" s="11" t="s">
        <v>3490</v>
      </c>
      <c r="I131" s="11" t="s">
        <v>3477</v>
      </c>
      <c r="J131" s="11" t="s">
        <v>4037</v>
      </c>
      <c r="K131" s="15" t="s">
        <v>3472</v>
      </c>
    </row>
    <row r="132" spans="1:11" ht="17.25" customHeight="1">
      <c r="A132" s="11" t="str">
        <f t="shared" si="2"/>
        <v>E131</v>
      </c>
      <c r="B132" s="11" t="s">
        <v>1418</v>
      </c>
      <c r="C132" s="11" t="s">
        <v>4026</v>
      </c>
      <c r="D132" s="12" t="s">
        <v>3440</v>
      </c>
      <c r="E132" s="11" t="s">
        <v>3451</v>
      </c>
      <c r="G132" s="11" t="s">
        <v>3446</v>
      </c>
      <c r="H132" s="11" t="s">
        <v>3490</v>
      </c>
      <c r="I132" s="11" t="s">
        <v>3444</v>
      </c>
      <c r="J132" s="11" t="s">
        <v>4038</v>
      </c>
      <c r="K132" s="15" t="s">
        <v>3472</v>
      </c>
    </row>
    <row r="133" spans="1:11" ht="17.25" customHeight="1">
      <c r="A133" s="11" t="str">
        <f t="shared" si="2"/>
        <v>E132</v>
      </c>
      <c r="B133" s="11" t="s">
        <v>758</v>
      </c>
      <c r="C133" s="11" t="s">
        <v>4033</v>
      </c>
      <c r="D133" s="12" t="s">
        <v>3440</v>
      </c>
      <c r="E133" s="11" t="s">
        <v>3441</v>
      </c>
      <c r="F133" s="11" t="s">
        <v>3441</v>
      </c>
      <c r="G133" s="11" t="s">
        <v>3442</v>
      </c>
      <c r="H133" s="11" t="s">
        <v>3498</v>
      </c>
      <c r="I133" s="11" t="s">
        <v>3444</v>
      </c>
      <c r="J133" s="11" t="s">
        <v>4038</v>
      </c>
      <c r="K133" s="15" t="s">
        <v>3472</v>
      </c>
    </row>
    <row r="134" spans="1:11" ht="17.25" customHeight="1">
      <c r="A134" s="19" t="str">
        <f t="shared" si="2"/>
        <v>E133</v>
      </c>
      <c r="B134" s="11" t="s">
        <v>206</v>
      </c>
      <c r="C134" s="11" t="s">
        <v>4033</v>
      </c>
      <c r="D134" s="12" t="s">
        <v>3440</v>
      </c>
      <c r="E134" s="11" t="s">
        <v>3441</v>
      </c>
      <c r="F134" s="11" t="s">
        <v>3441</v>
      </c>
      <c r="G134" s="11" t="s">
        <v>3442</v>
      </c>
      <c r="H134" s="11" t="s">
        <v>3498</v>
      </c>
      <c r="I134" s="11" t="s">
        <v>3444</v>
      </c>
      <c r="J134" s="11" t="s">
        <v>4038</v>
      </c>
      <c r="K134" s="15" t="s">
        <v>3472</v>
      </c>
    </row>
    <row r="135" spans="1:11" ht="17.25" customHeight="1">
      <c r="A135" s="11" t="str">
        <f t="shared" si="2"/>
        <v>E134</v>
      </c>
      <c r="B135" s="11" t="s">
        <v>3522</v>
      </c>
      <c r="C135" s="11" t="s">
        <v>3457</v>
      </c>
      <c r="D135" s="12" t="s">
        <v>3440</v>
      </c>
      <c r="E135" s="11" t="s">
        <v>3464</v>
      </c>
      <c r="G135" s="11" t="s">
        <v>3466</v>
      </c>
      <c r="H135" s="11" t="s">
        <v>3498</v>
      </c>
      <c r="I135" s="11" t="s">
        <v>3444</v>
      </c>
      <c r="J135" s="11" t="s">
        <v>4039</v>
      </c>
      <c r="K135" s="15" t="s">
        <v>3472</v>
      </c>
    </row>
    <row r="136" spans="1:11" ht="17.25" customHeight="1">
      <c r="A136" s="11" t="str">
        <f t="shared" si="2"/>
        <v>E135</v>
      </c>
      <c r="B136" s="11" t="s">
        <v>3523</v>
      </c>
      <c r="C136" s="11" t="s">
        <v>4033</v>
      </c>
      <c r="D136" s="12" t="s">
        <v>3440</v>
      </c>
      <c r="E136" s="11" t="s">
        <v>3441</v>
      </c>
      <c r="F136" s="11" t="s">
        <v>3441</v>
      </c>
      <c r="G136" s="11" t="s">
        <v>3442</v>
      </c>
      <c r="H136" s="11" t="s">
        <v>3498</v>
      </c>
      <c r="I136" s="11" t="s">
        <v>3444</v>
      </c>
      <c r="J136" s="11" t="s">
        <v>4037</v>
      </c>
      <c r="K136" s="15" t="s">
        <v>3472</v>
      </c>
    </row>
    <row r="137" spans="1:11" ht="17.25" customHeight="1">
      <c r="A137" s="11" t="str">
        <f t="shared" si="2"/>
        <v>E136</v>
      </c>
      <c r="B137" s="11" t="s">
        <v>206</v>
      </c>
      <c r="C137" s="11" t="s">
        <v>3457</v>
      </c>
      <c r="D137" s="12" t="s">
        <v>3440</v>
      </c>
      <c r="E137" s="11" t="s">
        <v>3451</v>
      </c>
      <c r="G137" s="11" t="s">
        <v>3446</v>
      </c>
      <c r="H137" s="11" t="s">
        <v>3498</v>
      </c>
      <c r="I137" s="11" t="s">
        <v>3444</v>
      </c>
      <c r="J137" s="11" t="s">
        <v>4038</v>
      </c>
      <c r="K137" s="15" t="s">
        <v>3472</v>
      </c>
    </row>
    <row r="138" spans="1:11" ht="17.25" customHeight="1">
      <c r="A138" s="11" t="str">
        <f t="shared" si="2"/>
        <v>E137</v>
      </c>
      <c r="B138" s="11" t="s">
        <v>1468</v>
      </c>
      <c r="C138" s="11" t="s">
        <v>3524</v>
      </c>
      <c r="D138" s="12" t="s">
        <v>3440</v>
      </c>
      <c r="E138" s="11" t="s">
        <v>3451</v>
      </c>
      <c r="G138" s="11" t="s">
        <v>3446</v>
      </c>
      <c r="H138" s="11" t="s">
        <v>3498</v>
      </c>
      <c r="I138" s="11" t="s">
        <v>3444</v>
      </c>
      <c r="J138" s="11" t="s">
        <v>4038</v>
      </c>
      <c r="K138" s="15" t="s">
        <v>3472</v>
      </c>
    </row>
    <row r="139" spans="1:11" ht="17.25" customHeight="1">
      <c r="A139" s="11" t="str">
        <f t="shared" si="2"/>
        <v>E138</v>
      </c>
      <c r="B139" s="11" t="s">
        <v>2558</v>
      </c>
      <c r="C139" s="11" t="s">
        <v>4033</v>
      </c>
      <c r="D139" s="12" t="s">
        <v>3440</v>
      </c>
      <c r="E139" s="11" t="s">
        <v>3448</v>
      </c>
      <c r="F139" s="11" t="s">
        <v>3449</v>
      </c>
      <c r="G139" s="11" t="s">
        <v>3455</v>
      </c>
      <c r="H139" s="11" t="s">
        <v>3498</v>
      </c>
      <c r="I139" s="11" t="s">
        <v>3444</v>
      </c>
      <c r="J139" s="11" t="s">
        <v>4038</v>
      </c>
      <c r="K139" s="15" t="s">
        <v>3472</v>
      </c>
    </row>
    <row r="140" spans="1:11" ht="17.25" customHeight="1">
      <c r="A140" s="11" t="str">
        <f t="shared" si="2"/>
        <v>E139</v>
      </c>
      <c r="B140" s="11" t="s">
        <v>3525</v>
      </c>
      <c r="C140" s="11" t="s">
        <v>4026</v>
      </c>
      <c r="D140" s="12" t="s">
        <v>3440</v>
      </c>
      <c r="E140" s="11" t="s">
        <v>3441</v>
      </c>
      <c r="F140" s="11" t="s">
        <v>3441</v>
      </c>
      <c r="G140" s="11" t="s">
        <v>3446</v>
      </c>
      <c r="H140" s="11" t="s">
        <v>3498</v>
      </c>
      <c r="I140" s="11" t="s">
        <v>3444</v>
      </c>
      <c r="J140" s="11" t="s">
        <v>4038</v>
      </c>
      <c r="K140" s="15" t="s">
        <v>3472</v>
      </c>
    </row>
    <row r="141" spans="1:11" ht="17.25" customHeight="1">
      <c r="A141" s="11" t="str">
        <f t="shared" si="2"/>
        <v>E140</v>
      </c>
      <c r="B141" s="11" t="s">
        <v>3526</v>
      </c>
      <c r="C141" s="11" t="s">
        <v>4026</v>
      </c>
      <c r="D141" s="12" t="s">
        <v>3440</v>
      </c>
      <c r="E141" s="11" t="s">
        <v>3458</v>
      </c>
      <c r="G141" s="11" t="s">
        <v>3455</v>
      </c>
      <c r="H141" s="11" t="s">
        <v>3498</v>
      </c>
      <c r="I141" s="11" t="s">
        <v>3444</v>
      </c>
      <c r="J141" s="11" t="s">
        <v>4038</v>
      </c>
      <c r="K141" s="15" t="s">
        <v>3472</v>
      </c>
    </row>
    <row r="142" spans="1:11" ht="17.25" customHeight="1">
      <c r="A142" s="11" t="str">
        <f t="shared" si="2"/>
        <v>E141</v>
      </c>
      <c r="B142" s="11" t="s">
        <v>3099</v>
      </c>
      <c r="C142" s="11" t="s">
        <v>4034</v>
      </c>
      <c r="D142" s="16" t="s">
        <v>3440</v>
      </c>
      <c r="E142" s="11" t="s">
        <v>3468</v>
      </c>
      <c r="G142" s="11" t="s">
        <v>3466</v>
      </c>
      <c r="H142" s="11" t="s">
        <v>3498</v>
      </c>
      <c r="I142" s="11" t="s">
        <v>3444</v>
      </c>
      <c r="J142" s="11" t="s">
        <v>4038</v>
      </c>
      <c r="K142" s="15" t="s">
        <v>3472</v>
      </c>
    </row>
    <row r="143" spans="1:11" ht="17.25" customHeight="1">
      <c r="A143" s="11" t="str">
        <f t="shared" si="2"/>
        <v>E142</v>
      </c>
      <c r="B143" s="11" t="s">
        <v>3527</v>
      </c>
      <c r="C143" s="11" t="s">
        <v>4034</v>
      </c>
      <c r="D143" s="12" t="s">
        <v>3440</v>
      </c>
      <c r="E143" s="11" t="s">
        <v>3464</v>
      </c>
      <c r="G143" s="11" t="s">
        <v>3466</v>
      </c>
      <c r="H143" s="11" t="s">
        <v>3498</v>
      </c>
      <c r="I143" s="11" t="s">
        <v>3444</v>
      </c>
      <c r="J143" s="11" t="s">
        <v>4038</v>
      </c>
      <c r="K143" s="15" t="s">
        <v>3472</v>
      </c>
    </row>
    <row r="144" spans="1:11" ht="17.25" customHeight="1">
      <c r="A144" s="11" t="str">
        <f t="shared" si="2"/>
        <v>E143</v>
      </c>
      <c r="B144" s="11" t="s">
        <v>328</v>
      </c>
      <c r="C144" s="11" t="s">
        <v>4024</v>
      </c>
      <c r="D144" s="12" t="s">
        <v>3440</v>
      </c>
      <c r="E144" s="11" t="s">
        <v>3448</v>
      </c>
      <c r="G144" s="11" t="s">
        <v>3466</v>
      </c>
      <c r="H144" s="11" t="s">
        <v>3490</v>
      </c>
      <c r="I144" s="11" t="s">
        <v>3444</v>
      </c>
      <c r="J144" s="11" t="s">
        <v>4038</v>
      </c>
      <c r="K144" s="15" t="s">
        <v>3472</v>
      </c>
    </row>
    <row r="145" spans="1:12" ht="17.25" customHeight="1">
      <c r="A145" s="11" t="str">
        <f t="shared" si="2"/>
        <v>E144</v>
      </c>
      <c r="B145" s="11" t="s">
        <v>2951</v>
      </c>
      <c r="C145" s="11" t="s">
        <v>4024</v>
      </c>
      <c r="D145" s="11" t="s">
        <v>3440</v>
      </c>
      <c r="E145" s="11" t="s">
        <v>3441</v>
      </c>
      <c r="F145" s="11" t="s">
        <v>3441</v>
      </c>
      <c r="G145" s="11" t="s">
        <v>3466</v>
      </c>
      <c r="H145" s="11" t="s">
        <v>3498</v>
      </c>
      <c r="I145" s="11" t="s">
        <v>3444</v>
      </c>
      <c r="J145" s="11" t="s">
        <v>4038</v>
      </c>
      <c r="K145" s="15" t="s">
        <v>3472</v>
      </c>
    </row>
    <row r="146" spans="1:12" ht="17.25" customHeight="1">
      <c r="A146" s="11" t="str">
        <f t="shared" si="2"/>
        <v>E145</v>
      </c>
      <c r="B146" s="11" t="s">
        <v>3528</v>
      </c>
      <c r="C146" s="11" t="s">
        <v>4027</v>
      </c>
      <c r="D146" s="12" t="s">
        <v>3440</v>
      </c>
      <c r="E146" s="11" t="s">
        <v>3448</v>
      </c>
      <c r="G146" s="11" t="s">
        <v>3442</v>
      </c>
      <c r="H146" s="11" t="s">
        <v>3490</v>
      </c>
      <c r="I146" s="11" t="s">
        <v>3444</v>
      </c>
      <c r="J146" s="11" t="s">
        <v>4038</v>
      </c>
    </row>
    <row r="147" spans="1:12" ht="17.25" customHeight="1">
      <c r="A147" s="11" t="str">
        <f t="shared" si="2"/>
        <v>E146</v>
      </c>
      <c r="B147" s="11" t="s">
        <v>222</v>
      </c>
      <c r="C147" s="11" t="s">
        <v>3524</v>
      </c>
      <c r="D147" s="12" t="s">
        <v>3440</v>
      </c>
      <c r="E147" s="11" t="s">
        <v>3441</v>
      </c>
      <c r="F147" s="11" t="s">
        <v>3441</v>
      </c>
      <c r="G147" s="11" t="s">
        <v>3455</v>
      </c>
      <c r="H147" s="11" t="s">
        <v>3490</v>
      </c>
      <c r="I147" s="11" t="s">
        <v>3444</v>
      </c>
      <c r="J147" s="11" t="s">
        <v>4038</v>
      </c>
      <c r="K147" s="15" t="s">
        <v>3472</v>
      </c>
      <c r="L147" s="11" t="s">
        <v>3502</v>
      </c>
    </row>
    <row r="148" spans="1:12" ht="17.25" customHeight="1">
      <c r="A148" s="11" t="str">
        <f t="shared" si="2"/>
        <v>E147</v>
      </c>
      <c r="B148" s="11" t="s">
        <v>1825</v>
      </c>
      <c r="C148" s="11" t="s">
        <v>4024</v>
      </c>
      <c r="D148" t="s">
        <v>3440</v>
      </c>
      <c r="E148" s="11" t="s">
        <v>3478</v>
      </c>
      <c r="G148" s="11" t="s">
        <v>3442</v>
      </c>
      <c r="H148" s="11" t="s">
        <v>3498</v>
      </c>
      <c r="I148" s="11" t="s">
        <v>3444</v>
      </c>
      <c r="J148" s="11" t="s">
        <v>4039</v>
      </c>
      <c r="K148" s="15" t="s">
        <v>3472</v>
      </c>
    </row>
    <row r="149" spans="1:12" ht="17.25" customHeight="1">
      <c r="A149" s="11" t="str">
        <f t="shared" si="2"/>
        <v>E148</v>
      </c>
      <c r="B149" s="11" t="s">
        <v>3529</v>
      </c>
      <c r="C149" s="11" t="s">
        <v>4023</v>
      </c>
      <c r="D149" s="12" t="s">
        <v>3440</v>
      </c>
      <c r="E149" s="11" t="s">
        <v>3441</v>
      </c>
      <c r="G149" s="11" t="s">
        <v>3446</v>
      </c>
      <c r="H149" s="11" t="s">
        <v>3498</v>
      </c>
      <c r="I149" s="11" t="s">
        <v>3444</v>
      </c>
      <c r="J149" s="11" t="s">
        <v>4038</v>
      </c>
    </row>
    <row r="150" spans="1:12" ht="17.25" customHeight="1">
      <c r="A150" s="11" t="str">
        <f t="shared" si="2"/>
        <v>E149</v>
      </c>
      <c r="B150" s="11" t="s">
        <v>3530</v>
      </c>
      <c r="C150" s="11" t="s">
        <v>4024</v>
      </c>
      <c r="D150" s="12" t="s">
        <v>3440</v>
      </c>
      <c r="E150" s="11" t="s">
        <v>3448</v>
      </c>
      <c r="G150" s="11" t="s">
        <v>3466</v>
      </c>
      <c r="H150" s="11" t="s">
        <v>3443</v>
      </c>
      <c r="I150" s="11" t="s">
        <v>3444</v>
      </c>
      <c r="J150" s="11" t="s">
        <v>4038</v>
      </c>
    </row>
    <row r="151" spans="1:12" ht="17.25" customHeight="1">
      <c r="A151" s="11" t="str">
        <f t="shared" si="2"/>
        <v>E150</v>
      </c>
      <c r="B151" s="11" t="s">
        <v>1910</v>
      </c>
      <c r="C151" s="11" t="s">
        <v>4026</v>
      </c>
      <c r="D151" s="12" t="s">
        <v>3440</v>
      </c>
      <c r="E151" s="11" t="s">
        <v>3458</v>
      </c>
      <c r="G151" s="11" t="s">
        <v>3455</v>
      </c>
      <c r="H151" s="11" t="s">
        <v>3498</v>
      </c>
      <c r="I151" s="11" t="s">
        <v>3444</v>
      </c>
      <c r="J151" s="11" t="s">
        <v>4038</v>
      </c>
    </row>
    <row r="152" spans="1:12" ht="17.25" customHeight="1">
      <c r="A152" s="19" t="str">
        <f t="shared" si="2"/>
        <v>E151</v>
      </c>
      <c r="B152" s="11" t="s">
        <v>758</v>
      </c>
      <c r="C152" s="11" t="s">
        <v>4033</v>
      </c>
      <c r="D152" s="12" t="s">
        <v>3440</v>
      </c>
      <c r="E152" s="11" t="s">
        <v>3441</v>
      </c>
      <c r="G152" s="11" t="s">
        <v>3466</v>
      </c>
      <c r="H152" s="11" t="s">
        <v>3498</v>
      </c>
      <c r="I152" s="11" t="s">
        <v>3444</v>
      </c>
      <c r="J152" s="11" t="s">
        <v>4039</v>
      </c>
      <c r="K152" s="15" t="s">
        <v>3472</v>
      </c>
    </row>
    <row r="153" spans="1:12" ht="17.25" customHeight="1">
      <c r="A153" s="11" t="str">
        <f t="shared" si="2"/>
        <v>E152</v>
      </c>
      <c r="B153" s="11" t="s">
        <v>3220</v>
      </c>
      <c r="C153" s="11" t="s">
        <v>4028</v>
      </c>
      <c r="D153" s="12" t="s">
        <v>3440</v>
      </c>
      <c r="E153" s="11" t="s">
        <v>3441</v>
      </c>
      <c r="G153" s="11" t="s">
        <v>3455</v>
      </c>
      <c r="H153" s="11" t="s">
        <v>3500</v>
      </c>
      <c r="I153" s="11" t="s">
        <v>3444</v>
      </c>
      <c r="J153" s="11" t="s">
        <v>4038</v>
      </c>
    </row>
    <row r="154" spans="1:12" ht="17.25" customHeight="1">
      <c r="A154" s="11" t="str">
        <f t="shared" si="2"/>
        <v>E153</v>
      </c>
      <c r="B154" s="11" t="s">
        <v>3496</v>
      </c>
      <c r="C154" s="11" t="s">
        <v>4026</v>
      </c>
      <c r="D154" s="12" t="s">
        <v>3440</v>
      </c>
      <c r="E154" s="11" t="s">
        <v>3441</v>
      </c>
      <c r="G154" s="11" t="s">
        <v>3455</v>
      </c>
      <c r="H154" s="11" t="s">
        <v>3498</v>
      </c>
      <c r="I154" s="11" t="s">
        <v>3444</v>
      </c>
      <c r="J154" s="11" t="s">
        <v>4038</v>
      </c>
    </row>
    <row r="155" spans="1:12" ht="17.25" customHeight="1">
      <c r="A155" s="11" t="str">
        <f t="shared" si="2"/>
        <v>E154</v>
      </c>
      <c r="B155" s="11" t="s">
        <v>55</v>
      </c>
      <c r="C155" s="11" t="s">
        <v>4026</v>
      </c>
      <c r="D155" s="16" t="s">
        <v>3440</v>
      </c>
      <c r="E155" s="11" t="s">
        <v>3451</v>
      </c>
      <c r="G155" s="11" t="s">
        <v>3446</v>
      </c>
      <c r="H155" s="11" t="s">
        <v>3498</v>
      </c>
      <c r="I155" s="11" t="s">
        <v>3444</v>
      </c>
      <c r="J155" s="11" t="s">
        <v>4038</v>
      </c>
    </row>
    <row r="156" spans="1:12" ht="17.25" customHeight="1">
      <c r="A156" s="11" t="str">
        <f t="shared" si="2"/>
        <v>E155</v>
      </c>
      <c r="B156" s="11" t="s">
        <v>3388</v>
      </c>
      <c r="C156" s="11" t="s">
        <v>3457</v>
      </c>
      <c r="D156" s="16" t="s">
        <v>3440</v>
      </c>
      <c r="E156" s="11" t="s">
        <v>3448</v>
      </c>
      <c r="G156" s="11" t="s">
        <v>3442</v>
      </c>
      <c r="H156" s="11" t="s">
        <v>3498</v>
      </c>
      <c r="I156" s="11" t="s">
        <v>3444</v>
      </c>
      <c r="J156" s="11" t="s">
        <v>4038</v>
      </c>
    </row>
    <row r="157" spans="1:12" ht="17.25" customHeight="1">
      <c r="A157" s="11" t="str">
        <f t="shared" si="2"/>
        <v>E156</v>
      </c>
      <c r="B157" s="11" t="s">
        <v>671</v>
      </c>
      <c r="C157" s="11" t="s">
        <v>3457</v>
      </c>
      <c r="D157" s="16" t="s">
        <v>3440</v>
      </c>
      <c r="E157" s="11" t="s">
        <v>3448</v>
      </c>
      <c r="G157" s="11" t="s">
        <v>3442</v>
      </c>
      <c r="H157" s="11" t="s">
        <v>3498</v>
      </c>
      <c r="I157" s="11" t="s">
        <v>3444</v>
      </c>
      <c r="J157" s="11" t="s">
        <v>4038</v>
      </c>
    </row>
    <row r="158" spans="1:12" ht="17.25" customHeight="1">
      <c r="A158" s="11" t="str">
        <f t="shared" si="2"/>
        <v>E157</v>
      </c>
      <c r="B158" s="11" t="s">
        <v>151</v>
      </c>
      <c r="C158" s="11" t="s">
        <v>3457</v>
      </c>
      <c r="D158" s="16" t="s">
        <v>3440</v>
      </c>
      <c r="E158" s="11" t="s">
        <v>3441</v>
      </c>
      <c r="G158" s="11" t="s">
        <v>3442</v>
      </c>
      <c r="H158" s="11" t="s">
        <v>3498</v>
      </c>
      <c r="I158" s="11" t="s">
        <v>3444</v>
      </c>
      <c r="J158" s="11" t="s">
        <v>4038</v>
      </c>
    </row>
    <row r="159" spans="1:12" ht="17.25" customHeight="1">
      <c r="A159" s="11" t="str">
        <f t="shared" si="2"/>
        <v>E158</v>
      </c>
      <c r="B159" s="11" t="s">
        <v>3531</v>
      </c>
      <c r="C159" s="11" t="s">
        <v>4024</v>
      </c>
      <c r="D159" s="16" t="s">
        <v>3440</v>
      </c>
      <c r="E159" s="11" t="s">
        <v>3448</v>
      </c>
      <c r="G159" s="11" t="s">
        <v>3442</v>
      </c>
      <c r="H159" s="11" t="s">
        <v>3498</v>
      </c>
      <c r="I159" s="11" t="s">
        <v>3444</v>
      </c>
      <c r="J159" s="11" t="s">
        <v>4038</v>
      </c>
    </row>
    <row r="160" spans="1:12" ht="17.25" customHeight="1">
      <c r="A160" s="11" t="str">
        <f t="shared" si="2"/>
        <v>E159</v>
      </c>
      <c r="B160" s="11" t="s">
        <v>3532</v>
      </c>
      <c r="C160" s="11" t="s">
        <v>4027</v>
      </c>
      <c r="D160" s="16" t="s">
        <v>3440</v>
      </c>
      <c r="E160" s="11" t="s">
        <v>3448</v>
      </c>
      <c r="G160" s="11" t="s">
        <v>3442</v>
      </c>
      <c r="H160" s="11" t="s">
        <v>3498</v>
      </c>
      <c r="I160" s="11" t="s">
        <v>3444</v>
      </c>
      <c r="J160" s="11" t="s">
        <v>4038</v>
      </c>
    </row>
    <row r="161" spans="1:10" ht="17.25" customHeight="1">
      <c r="A161" s="11" t="str">
        <f t="shared" si="2"/>
        <v>E160</v>
      </c>
      <c r="B161" s="11" t="s">
        <v>3533</v>
      </c>
      <c r="C161" s="11" t="s">
        <v>4025</v>
      </c>
      <c r="D161" s="16" t="s">
        <v>3440</v>
      </c>
      <c r="E161" s="11" t="s">
        <v>3441</v>
      </c>
      <c r="G161" s="11" t="s">
        <v>3442</v>
      </c>
      <c r="H161" s="11" t="s">
        <v>3498</v>
      </c>
      <c r="I161" s="11" t="s">
        <v>3444</v>
      </c>
      <c r="J161" s="11" t="s">
        <v>4038</v>
      </c>
    </row>
    <row r="162" spans="1:10" ht="17.25" customHeight="1">
      <c r="A162" s="11" t="str">
        <f t="shared" si="2"/>
        <v>E161</v>
      </c>
      <c r="B162" s="11" t="s">
        <v>78</v>
      </c>
      <c r="C162" s="11" t="s">
        <v>4024</v>
      </c>
      <c r="D162" s="16" t="s">
        <v>3440</v>
      </c>
      <c r="E162" s="11" t="s">
        <v>3441</v>
      </c>
      <c r="G162" s="11" t="s">
        <v>3442</v>
      </c>
      <c r="H162" s="11" t="s">
        <v>3498</v>
      </c>
      <c r="I162" s="11" t="s">
        <v>3444</v>
      </c>
      <c r="J162" s="11" t="s">
        <v>4038</v>
      </c>
    </row>
    <row r="163" spans="1:10" ht="17.25" customHeight="1">
      <c r="A163" s="11" t="str">
        <f t="shared" si="2"/>
        <v>E162</v>
      </c>
      <c r="B163" s="13" t="s">
        <v>206</v>
      </c>
      <c r="C163" s="11" t="s">
        <v>4023</v>
      </c>
      <c r="D163" s="16" t="s">
        <v>3440</v>
      </c>
      <c r="E163" s="11" t="s">
        <v>3441</v>
      </c>
      <c r="G163" s="15" t="s">
        <v>3442</v>
      </c>
      <c r="H163" s="11" t="s">
        <v>3498</v>
      </c>
      <c r="I163" s="11" t="s">
        <v>3444</v>
      </c>
      <c r="J163" s="11" t="s">
        <v>4039</v>
      </c>
    </row>
    <row r="164" spans="1:10" ht="17.25" customHeight="1">
      <c r="A164" s="11" t="str">
        <f t="shared" si="2"/>
        <v>E163</v>
      </c>
      <c r="B164" s="11" t="s">
        <v>3534</v>
      </c>
      <c r="C164" s="11" t="s">
        <v>3457</v>
      </c>
      <c r="D164" s="16" t="s">
        <v>3440</v>
      </c>
      <c r="E164" s="11" t="s">
        <v>3448</v>
      </c>
      <c r="G164" s="11" t="s">
        <v>3442</v>
      </c>
      <c r="H164" s="11" t="s">
        <v>3498</v>
      </c>
      <c r="I164" s="11" t="s">
        <v>3444</v>
      </c>
      <c r="J164" s="11" t="s">
        <v>4038</v>
      </c>
    </row>
    <row r="165" spans="1:10" ht="17.25" customHeight="1">
      <c r="A165" s="11" t="str">
        <f t="shared" si="2"/>
        <v>E164</v>
      </c>
      <c r="B165" s="11" t="s">
        <v>2635</v>
      </c>
      <c r="C165" s="11" t="s">
        <v>4024</v>
      </c>
      <c r="D165" s="16" t="s">
        <v>3440</v>
      </c>
      <c r="E165" s="11" t="s">
        <v>3448</v>
      </c>
      <c r="G165" s="11" t="s">
        <v>3442</v>
      </c>
      <c r="H165" s="11" t="s">
        <v>3498</v>
      </c>
      <c r="I165" s="11" t="s">
        <v>3444</v>
      </c>
      <c r="J165" s="11" t="s">
        <v>4038</v>
      </c>
    </row>
    <row r="166" spans="1:10" ht="17.25" customHeight="1">
      <c r="A166" s="11" t="str">
        <f t="shared" si="2"/>
        <v>E165</v>
      </c>
      <c r="B166" s="11" t="s">
        <v>3535</v>
      </c>
      <c r="C166" s="11" t="s">
        <v>4032</v>
      </c>
      <c r="D166" s="16" t="s">
        <v>3440</v>
      </c>
      <c r="E166" s="11" t="s">
        <v>3448</v>
      </c>
      <c r="G166" s="11" t="s">
        <v>3442</v>
      </c>
      <c r="H166" s="11" t="s">
        <v>3498</v>
      </c>
      <c r="I166" s="11" t="s">
        <v>3444</v>
      </c>
      <c r="J166" s="11" t="s">
        <v>4038</v>
      </c>
    </row>
    <row r="167" spans="1:10" ht="17.25" customHeight="1">
      <c r="A167" s="11" t="str">
        <f t="shared" si="2"/>
        <v>E166</v>
      </c>
      <c r="B167" s="11" t="s">
        <v>2229</v>
      </c>
      <c r="C167" s="11" t="s">
        <v>4032</v>
      </c>
      <c r="D167" s="16" t="s">
        <v>3440</v>
      </c>
      <c r="E167" s="11" t="s">
        <v>3464</v>
      </c>
      <c r="G167" s="11" t="s">
        <v>3466</v>
      </c>
      <c r="H167" s="11" t="s">
        <v>3443</v>
      </c>
      <c r="I167" s="11" t="s">
        <v>3444</v>
      </c>
      <c r="J167" s="11" t="s">
        <v>4038</v>
      </c>
    </row>
    <row r="168" spans="1:10" ht="17.25" customHeight="1">
      <c r="A168" s="11" t="str">
        <f t="shared" si="2"/>
        <v>E167</v>
      </c>
      <c r="B168" s="11" t="s">
        <v>817</v>
      </c>
      <c r="C168" s="11" t="s">
        <v>4025</v>
      </c>
      <c r="D168" s="16" t="s">
        <v>3440</v>
      </c>
      <c r="E168" s="11" t="s">
        <v>3441</v>
      </c>
      <c r="G168" s="11" t="s">
        <v>3442</v>
      </c>
      <c r="H168" s="11" t="s">
        <v>3498</v>
      </c>
      <c r="I168" s="11" t="s">
        <v>3444</v>
      </c>
      <c r="J168" s="11" t="s">
        <v>4038</v>
      </c>
    </row>
    <row r="169" spans="1:10" ht="17.25" customHeight="1">
      <c r="A169" s="11" t="str">
        <f t="shared" si="2"/>
        <v>E168</v>
      </c>
      <c r="B169" s="11" t="s">
        <v>1701</v>
      </c>
      <c r="C169" s="11" t="s">
        <v>4023</v>
      </c>
      <c r="D169" s="16" t="s">
        <v>3440</v>
      </c>
      <c r="E169" s="11" t="s">
        <v>3448</v>
      </c>
      <c r="G169" s="11" t="s">
        <v>3442</v>
      </c>
      <c r="H169" s="11" t="s">
        <v>3498</v>
      </c>
      <c r="I169" s="11" t="s">
        <v>3444</v>
      </c>
      <c r="J169" s="11" t="s">
        <v>4038</v>
      </c>
    </row>
    <row r="170" spans="1:10" ht="17.25" customHeight="1">
      <c r="A170" s="11" t="str">
        <f t="shared" si="2"/>
        <v>E169</v>
      </c>
      <c r="B170" s="11" t="s">
        <v>3029</v>
      </c>
      <c r="C170" s="11" t="s">
        <v>3457</v>
      </c>
      <c r="D170" s="16" t="s">
        <v>3440</v>
      </c>
      <c r="E170" s="11" t="s">
        <v>3468</v>
      </c>
      <c r="G170" s="11" t="s">
        <v>3466</v>
      </c>
      <c r="H170" s="11" t="s">
        <v>3500</v>
      </c>
      <c r="I170" s="11" t="s">
        <v>3444</v>
      </c>
      <c r="J170" s="11" t="s">
        <v>4038</v>
      </c>
    </row>
    <row r="171" spans="1:10" ht="17.25" customHeight="1">
      <c r="A171" s="11" t="str">
        <f t="shared" si="2"/>
        <v>E170</v>
      </c>
      <c r="B171" s="11" t="s">
        <v>2429</v>
      </c>
      <c r="C171" s="11" t="s">
        <v>4030</v>
      </c>
      <c r="D171" s="16" t="s">
        <v>3440</v>
      </c>
      <c r="E171" s="11" t="s">
        <v>3468</v>
      </c>
      <c r="G171" s="11" t="s">
        <v>3442</v>
      </c>
      <c r="H171" s="11" t="s">
        <v>3498</v>
      </c>
      <c r="I171" s="11" t="s">
        <v>3444</v>
      </c>
      <c r="J171" s="11" t="s">
        <v>4038</v>
      </c>
    </row>
    <row r="172" spans="1:10" ht="17.25" customHeight="1">
      <c r="A172" s="11" t="str">
        <f t="shared" si="2"/>
        <v>E171</v>
      </c>
      <c r="B172" s="11" t="s">
        <v>2719</v>
      </c>
      <c r="C172" s="11" t="s">
        <v>4027</v>
      </c>
      <c r="D172" s="16" t="s">
        <v>3440</v>
      </c>
      <c r="E172" s="11" t="s">
        <v>3448</v>
      </c>
      <c r="G172" s="11" t="s">
        <v>3442</v>
      </c>
      <c r="H172" s="11" t="s">
        <v>3490</v>
      </c>
      <c r="I172" s="11" t="s">
        <v>3444</v>
      </c>
      <c r="J172" s="11" t="s">
        <v>4038</v>
      </c>
    </row>
    <row r="173" spans="1:10" ht="17.25" customHeight="1">
      <c r="A173" s="11" t="str">
        <f t="shared" si="2"/>
        <v>E172</v>
      </c>
      <c r="B173" s="11" t="s">
        <v>3536</v>
      </c>
      <c r="C173" s="11" t="s">
        <v>3457</v>
      </c>
      <c r="D173" s="16" t="s">
        <v>3440</v>
      </c>
      <c r="E173" s="11" t="s">
        <v>3468</v>
      </c>
      <c r="G173" s="11" t="s">
        <v>3466</v>
      </c>
      <c r="H173" s="11" t="s">
        <v>3498</v>
      </c>
      <c r="I173" s="11" t="s">
        <v>3444</v>
      </c>
      <c r="J173" s="11" t="s">
        <v>4038</v>
      </c>
    </row>
    <row r="174" spans="1:10" ht="17.25" customHeight="1">
      <c r="A174" s="11" t="str">
        <f t="shared" si="2"/>
        <v>E173</v>
      </c>
      <c r="B174" s="11" t="s">
        <v>2697</v>
      </c>
      <c r="C174" s="11" t="s">
        <v>4034</v>
      </c>
      <c r="D174" s="16" t="s">
        <v>3440</v>
      </c>
      <c r="E174" s="11" t="s">
        <v>3464</v>
      </c>
      <c r="G174" s="11" t="s">
        <v>3466</v>
      </c>
      <c r="H174" s="11" t="s">
        <v>3498</v>
      </c>
      <c r="I174" s="11" t="s">
        <v>3444</v>
      </c>
      <c r="J174" s="11" t="s">
        <v>4038</v>
      </c>
    </row>
    <row r="175" spans="1:10" ht="17.25" customHeight="1">
      <c r="A175" s="11" t="str">
        <f t="shared" si="2"/>
        <v>E174</v>
      </c>
      <c r="B175" s="11" t="s">
        <v>3527</v>
      </c>
      <c r="C175" s="11" t="s">
        <v>4023</v>
      </c>
      <c r="D175" s="16" t="s">
        <v>3440</v>
      </c>
      <c r="E175" s="11" t="s">
        <v>3468</v>
      </c>
      <c r="G175" s="11" t="s">
        <v>3466</v>
      </c>
      <c r="H175" s="11" t="s">
        <v>3498</v>
      </c>
      <c r="I175" s="11" t="s">
        <v>3444</v>
      </c>
      <c r="J175" s="11" t="s">
        <v>4038</v>
      </c>
    </row>
    <row r="176" spans="1:10" ht="17.25" customHeight="1">
      <c r="A176" s="11" t="str">
        <f t="shared" si="2"/>
        <v>E175</v>
      </c>
      <c r="B176" s="11" t="s">
        <v>3362</v>
      </c>
      <c r="C176" s="11" t="s">
        <v>4034</v>
      </c>
      <c r="D176" s="16" t="s">
        <v>3440</v>
      </c>
      <c r="E176" s="11" t="s">
        <v>3464</v>
      </c>
      <c r="G176" s="11" t="s">
        <v>3466</v>
      </c>
      <c r="H176" s="11" t="s">
        <v>3498</v>
      </c>
      <c r="I176" s="11" t="s">
        <v>3444</v>
      </c>
      <c r="J176" s="11" t="s">
        <v>4038</v>
      </c>
    </row>
    <row r="177" spans="1:10" ht="17.25" customHeight="1">
      <c r="A177" s="11" t="str">
        <f t="shared" si="2"/>
        <v>E176</v>
      </c>
      <c r="B177" s="11" t="s">
        <v>1715</v>
      </c>
      <c r="C177" s="11" t="s">
        <v>3457</v>
      </c>
      <c r="D177" s="16" t="s">
        <v>3440</v>
      </c>
      <c r="E177" s="11" t="s">
        <v>3441</v>
      </c>
      <c r="G177" s="11" t="s">
        <v>3442</v>
      </c>
      <c r="H177" s="11" t="s">
        <v>3498</v>
      </c>
      <c r="I177" s="11" t="s">
        <v>3444</v>
      </c>
      <c r="J177" s="11" t="s">
        <v>4038</v>
      </c>
    </row>
    <row r="178" spans="1:10" ht="17.25" customHeight="1">
      <c r="A178" s="11" t="str">
        <f t="shared" si="2"/>
        <v>E177</v>
      </c>
      <c r="B178" s="11" t="s">
        <v>3537</v>
      </c>
      <c r="C178" s="11" t="s">
        <v>4026</v>
      </c>
      <c r="D178" s="16" t="s">
        <v>3440</v>
      </c>
      <c r="E178" s="11" t="s">
        <v>3458</v>
      </c>
      <c r="G178" s="11" t="s">
        <v>3442</v>
      </c>
      <c r="H178" s="11" t="s">
        <v>3498</v>
      </c>
      <c r="I178" s="11" t="s">
        <v>3444</v>
      </c>
      <c r="J178" s="11" t="s">
        <v>4039</v>
      </c>
    </row>
    <row r="179" spans="1:10" ht="17.25" customHeight="1">
      <c r="A179" s="11" t="str">
        <f t="shared" si="2"/>
        <v>E178</v>
      </c>
      <c r="B179" s="11" t="s">
        <v>3538</v>
      </c>
      <c r="C179" s="11" t="s">
        <v>4030</v>
      </c>
      <c r="D179" s="16" t="s">
        <v>3440</v>
      </c>
      <c r="E179" s="11" t="s">
        <v>3441</v>
      </c>
      <c r="G179" s="11" t="s">
        <v>3455</v>
      </c>
      <c r="H179" s="11" t="s">
        <v>3498</v>
      </c>
      <c r="I179" s="11" t="s">
        <v>3444</v>
      </c>
      <c r="J179" s="11" t="s">
        <v>4038</v>
      </c>
    </row>
    <row r="180" spans="1:10" ht="17.25" customHeight="1">
      <c r="A180" s="11" t="str">
        <f t="shared" si="2"/>
        <v>E179</v>
      </c>
      <c r="B180" s="11" t="s">
        <v>55</v>
      </c>
      <c r="C180" s="11" t="s">
        <v>4024</v>
      </c>
      <c r="D180" s="16" t="s">
        <v>3440</v>
      </c>
      <c r="E180" s="11" t="s">
        <v>3441</v>
      </c>
      <c r="G180" s="11" t="s">
        <v>3455</v>
      </c>
      <c r="H180" s="11" t="s">
        <v>3498</v>
      </c>
      <c r="I180" s="11" t="s">
        <v>3444</v>
      </c>
      <c r="J180" s="11" t="s">
        <v>4038</v>
      </c>
    </row>
    <row r="181" spans="1:10" ht="17.25" customHeight="1">
      <c r="A181" s="11" t="str">
        <f t="shared" si="2"/>
        <v>E180</v>
      </c>
      <c r="B181" s="11" t="s">
        <v>222</v>
      </c>
      <c r="C181" s="11" t="s">
        <v>4024</v>
      </c>
      <c r="D181" s="16" t="s">
        <v>3440</v>
      </c>
      <c r="E181" s="11" t="s">
        <v>3448</v>
      </c>
      <c r="G181" s="11" t="s">
        <v>3455</v>
      </c>
      <c r="H181" s="11" t="s">
        <v>3498</v>
      </c>
      <c r="I181" s="11" t="s">
        <v>3444</v>
      </c>
      <c r="J181" s="11" t="s">
        <v>4038</v>
      </c>
    </row>
    <row r="182" spans="1:10" ht="17.25" customHeight="1">
      <c r="A182" s="11" t="str">
        <f t="shared" si="2"/>
        <v>E181</v>
      </c>
      <c r="B182" s="11" t="s">
        <v>3527</v>
      </c>
      <c r="C182" s="11" t="s">
        <v>4032</v>
      </c>
      <c r="D182" s="16" t="s">
        <v>3440</v>
      </c>
      <c r="E182" s="11" t="s">
        <v>3468</v>
      </c>
      <c r="G182" s="11" t="s">
        <v>3455</v>
      </c>
      <c r="H182" s="11" t="s">
        <v>3498</v>
      </c>
      <c r="I182" s="11" t="s">
        <v>3444</v>
      </c>
      <c r="J182" s="11" t="s">
        <v>4038</v>
      </c>
    </row>
    <row r="183" spans="1:10" ht="17.25" customHeight="1">
      <c r="A183" s="11" t="str">
        <f t="shared" si="2"/>
        <v>E182</v>
      </c>
      <c r="B183" s="11" t="s">
        <v>3530</v>
      </c>
      <c r="C183" s="11" t="s">
        <v>4026</v>
      </c>
      <c r="D183" s="16" t="s">
        <v>3440</v>
      </c>
      <c r="E183" s="11" t="s">
        <v>3458</v>
      </c>
      <c r="G183" s="11" t="s">
        <v>3455</v>
      </c>
      <c r="H183" s="11" t="s">
        <v>3498</v>
      </c>
      <c r="I183" s="11" t="s">
        <v>3444</v>
      </c>
      <c r="J183" s="11" t="s">
        <v>4038</v>
      </c>
    </row>
    <row r="184" spans="1:10" ht="17.25" customHeight="1">
      <c r="A184" s="11" t="str">
        <f t="shared" si="2"/>
        <v>E183</v>
      </c>
      <c r="B184" s="11" t="s">
        <v>3539</v>
      </c>
      <c r="C184" s="11" t="s">
        <v>4024</v>
      </c>
      <c r="D184" s="16" t="s">
        <v>3440</v>
      </c>
      <c r="E184" s="11" t="s">
        <v>3441</v>
      </c>
      <c r="G184" s="11" t="s">
        <v>3455</v>
      </c>
      <c r="H184" s="11" t="s">
        <v>3498</v>
      </c>
      <c r="I184" s="11" t="s">
        <v>3444</v>
      </c>
      <c r="J184" s="11" t="s">
        <v>4038</v>
      </c>
    </row>
    <row r="185" spans="1:10" ht="17.25" customHeight="1">
      <c r="A185" s="11" t="str">
        <f t="shared" si="2"/>
        <v>E184</v>
      </c>
      <c r="B185" s="11" t="s">
        <v>3540</v>
      </c>
      <c r="C185" s="11" t="s">
        <v>4025</v>
      </c>
      <c r="D185" s="16" t="s">
        <v>3440</v>
      </c>
      <c r="E185" s="11" t="s">
        <v>3441</v>
      </c>
      <c r="G185" s="11" t="s">
        <v>3455</v>
      </c>
      <c r="H185" s="11" t="s">
        <v>3498</v>
      </c>
      <c r="I185" s="11" t="s">
        <v>3444</v>
      </c>
      <c r="J185" s="11" t="s">
        <v>4038</v>
      </c>
    </row>
    <row r="186" spans="1:10" ht="17.25" customHeight="1">
      <c r="A186" s="11" t="str">
        <f t="shared" si="2"/>
        <v>E185</v>
      </c>
      <c r="B186" s="11" t="s">
        <v>2218</v>
      </c>
      <c r="C186" s="11" t="s">
        <v>3457</v>
      </c>
      <c r="D186" s="16" t="s">
        <v>3440</v>
      </c>
      <c r="E186" s="11" t="s">
        <v>3441</v>
      </c>
      <c r="G186" s="11" t="s">
        <v>3455</v>
      </c>
      <c r="H186" s="11" t="s">
        <v>3498</v>
      </c>
      <c r="I186" s="11" t="s">
        <v>3444</v>
      </c>
      <c r="J186" s="11" t="s">
        <v>4038</v>
      </c>
    </row>
    <row r="187" spans="1:10" ht="17.25" customHeight="1">
      <c r="A187" s="11" t="str">
        <f t="shared" si="2"/>
        <v>E186</v>
      </c>
      <c r="B187" s="11" t="s">
        <v>3541</v>
      </c>
      <c r="C187" s="11" t="s">
        <v>4025</v>
      </c>
      <c r="D187" s="16" t="s">
        <v>3440</v>
      </c>
      <c r="E187" s="11" t="s">
        <v>3441</v>
      </c>
      <c r="G187" s="11" t="s">
        <v>3455</v>
      </c>
      <c r="H187" s="11" t="s">
        <v>3498</v>
      </c>
      <c r="I187" s="11" t="s">
        <v>3444</v>
      </c>
      <c r="J187" s="11" t="s">
        <v>4038</v>
      </c>
    </row>
    <row r="188" spans="1:10" ht="17.25" customHeight="1">
      <c r="A188" s="11" t="str">
        <f t="shared" si="2"/>
        <v>E187</v>
      </c>
      <c r="B188" s="11" t="s">
        <v>2501</v>
      </c>
      <c r="C188" s="11" t="s">
        <v>3524</v>
      </c>
      <c r="D188" s="16" t="s">
        <v>3440</v>
      </c>
      <c r="E188" s="11" t="s">
        <v>3441</v>
      </c>
      <c r="G188" s="11" t="s">
        <v>3455</v>
      </c>
      <c r="H188" s="11" t="s">
        <v>3498</v>
      </c>
      <c r="I188" s="11" t="s">
        <v>3444</v>
      </c>
      <c r="J188" s="11" t="s">
        <v>4038</v>
      </c>
    </row>
    <row r="189" spans="1:10" ht="17.25" customHeight="1">
      <c r="A189" s="11" t="str">
        <f t="shared" si="2"/>
        <v>E188</v>
      </c>
      <c r="B189" s="11" t="s">
        <v>1539</v>
      </c>
      <c r="C189" s="11" t="s">
        <v>4031</v>
      </c>
      <c r="D189" s="16" t="s">
        <v>3440</v>
      </c>
      <c r="E189" s="11" t="s">
        <v>3441</v>
      </c>
      <c r="G189" s="11" t="s">
        <v>3455</v>
      </c>
      <c r="H189" s="11" t="s">
        <v>3498</v>
      </c>
      <c r="I189" s="11" t="s">
        <v>3444</v>
      </c>
      <c r="J189" s="11" t="s">
        <v>4038</v>
      </c>
    </row>
    <row r="190" spans="1:10" ht="17.25" customHeight="1">
      <c r="A190" s="11" t="str">
        <f t="shared" si="2"/>
        <v>E189</v>
      </c>
      <c r="B190" s="11" t="s">
        <v>151</v>
      </c>
      <c r="C190" s="11" t="s">
        <v>4023</v>
      </c>
      <c r="D190" s="16" t="s">
        <v>3440</v>
      </c>
      <c r="E190" s="11" t="s">
        <v>3441</v>
      </c>
      <c r="G190" s="11" t="s">
        <v>3455</v>
      </c>
      <c r="H190" s="11" t="s">
        <v>3498</v>
      </c>
      <c r="I190" s="11" t="s">
        <v>3444</v>
      </c>
      <c r="J190" s="11" t="s">
        <v>4038</v>
      </c>
    </row>
    <row r="191" spans="1:10" ht="17.25" customHeight="1">
      <c r="A191" s="11" t="str">
        <f t="shared" si="2"/>
        <v>E190</v>
      </c>
      <c r="B191" s="11" t="s">
        <v>1557</v>
      </c>
      <c r="C191" s="11" t="s">
        <v>4025</v>
      </c>
      <c r="D191" s="16" t="s">
        <v>3440</v>
      </c>
      <c r="E191" s="11" t="s">
        <v>3441</v>
      </c>
      <c r="G191" s="11" t="s">
        <v>3446</v>
      </c>
      <c r="H191" s="11" t="s">
        <v>3498</v>
      </c>
      <c r="I191" s="11" t="s">
        <v>3444</v>
      </c>
      <c r="J191" s="11" t="s">
        <v>4038</v>
      </c>
    </row>
    <row r="192" spans="1:10" ht="17.25" customHeight="1">
      <c r="A192" s="11" t="str">
        <f t="shared" si="2"/>
        <v>E191</v>
      </c>
      <c r="B192" s="11" t="s">
        <v>3542</v>
      </c>
      <c r="C192" s="11" t="s">
        <v>4030</v>
      </c>
      <c r="D192" s="16" t="s">
        <v>3440</v>
      </c>
      <c r="E192" s="11" t="s">
        <v>3441</v>
      </c>
      <c r="G192" s="11" t="s">
        <v>3446</v>
      </c>
      <c r="H192" s="11" t="s">
        <v>3498</v>
      </c>
      <c r="I192" s="11" t="s">
        <v>3444</v>
      </c>
      <c r="J192" s="11" t="s">
        <v>4038</v>
      </c>
    </row>
    <row r="193" spans="1:11" ht="17.25" customHeight="1">
      <c r="A193" s="11" t="str">
        <f t="shared" si="2"/>
        <v>E192</v>
      </c>
      <c r="B193" s="11" t="s">
        <v>2330</v>
      </c>
      <c r="C193" s="11" t="s">
        <v>4024</v>
      </c>
      <c r="D193" s="16" t="s">
        <v>3440</v>
      </c>
      <c r="E193" s="11" t="s">
        <v>3458</v>
      </c>
      <c r="G193" s="11" t="s">
        <v>3446</v>
      </c>
      <c r="H193" s="11" t="s">
        <v>3498</v>
      </c>
      <c r="I193" s="11" t="s">
        <v>3444</v>
      </c>
      <c r="J193" s="11" t="s">
        <v>4038</v>
      </c>
    </row>
    <row r="194" spans="1:11" ht="17.25" customHeight="1">
      <c r="A194" s="11" t="str">
        <f t="shared" ref="A194:A257" si="3">_xlfn.CONCAT("E",TEXT(ROW()-1,"000"))</f>
        <v>E193</v>
      </c>
      <c r="B194" s="11" t="s">
        <v>2318</v>
      </c>
      <c r="C194" s="11" t="s">
        <v>3457</v>
      </c>
      <c r="D194" s="16" t="s">
        <v>3440</v>
      </c>
      <c r="E194" s="11" t="s">
        <v>3468</v>
      </c>
      <c r="G194" s="11" t="s">
        <v>3442</v>
      </c>
      <c r="H194" s="11" t="s">
        <v>3498</v>
      </c>
      <c r="I194" s="11" t="s">
        <v>3444</v>
      </c>
      <c r="J194" s="11" t="s">
        <v>4038</v>
      </c>
    </row>
    <row r="195" spans="1:11" ht="17.25" customHeight="1">
      <c r="A195" s="11" t="str">
        <f t="shared" si="3"/>
        <v>E194</v>
      </c>
      <c r="B195" s="11" t="s">
        <v>2376</v>
      </c>
      <c r="C195" s="11" t="s">
        <v>4034</v>
      </c>
      <c r="D195" s="16" t="s">
        <v>3440</v>
      </c>
      <c r="E195" s="11" t="s">
        <v>3441</v>
      </c>
      <c r="G195" s="11" t="s">
        <v>3446</v>
      </c>
      <c r="H195" s="11" t="s">
        <v>3498</v>
      </c>
      <c r="I195" s="11" t="s">
        <v>3444</v>
      </c>
      <c r="J195" s="11" t="s">
        <v>4038</v>
      </c>
    </row>
    <row r="196" spans="1:11" ht="17.25" customHeight="1">
      <c r="A196" s="11" t="str">
        <f t="shared" si="3"/>
        <v>E195</v>
      </c>
      <c r="B196" s="11" t="s">
        <v>3543</v>
      </c>
      <c r="C196" s="11" t="s">
        <v>4023</v>
      </c>
      <c r="D196" s="16" t="s">
        <v>3440</v>
      </c>
      <c r="E196" s="11" t="s">
        <v>3441</v>
      </c>
      <c r="G196" s="11" t="s">
        <v>3446</v>
      </c>
      <c r="H196" s="11" t="s">
        <v>3498</v>
      </c>
      <c r="I196" s="11" t="s">
        <v>3444</v>
      </c>
      <c r="J196" s="11" t="s">
        <v>4038</v>
      </c>
    </row>
    <row r="197" spans="1:11" ht="17.25" customHeight="1">
      <c r="A197" s="11" t="str">
        <f t="shared" si="3"/>
        <v>E196</v>
      </c>
      <c r="B197" s="11" t="s">
        <v>1262</v>
      </c>
      <c r="C197" s="11" t="s">
        <v>4023</v>
      </c>
      <c r="D197" s="16" t="s">
        <v>3440</v>
      </c>
      <c r="E197" s="11" t="s">
        <v>3441</v>
      </c>
      <c r="G197" s="11" t="s">
        <v>3446</v>
      </c>
      <c r="H197" s="11" t="s">
        <v>3498</v>
      </c>
      <c r="I197" s="11" t="s">
        <v>3444</v>
      </c>
      <c r="J197" s="11" t="s">
        <v>4038</v>
      </c>
    </row>
    <row r="198" spans="1:11" ht="17.25" customHeight="1">
      <c r="A198" s="11" t="str">
        <f t="shared" si="3"/>
        <v>E197</v>
      </c>
      <c r="B198" s="11" t="s">
        <v>3544</v>
      </c>
      <c r="C198" s="11" t="s">
        <v>4024</v>
      </c>
      <c r="D198" s="16" t="s">
        <v>3440</v>
      </c>
      <c r="E198" s="11" t="s">
        <v>3464</v>
      </c>
      <c r="G198" s="11" t="s">
        <v>3466</v>
      </c>
      <c r="H198" s="11" t="s">
        <v>3498</v>
      </c>
      <c r="I198" s="11" t="s">
        <v>3444</v>
      </c>
      <c r="J198" s="11" t="s">
        <v>4038</v>
      </c>
    </row>
    <row r="199" spans="1:11" ht="17.25" customHeight="1">
      <c r="A199" s="11" t="str">
        <f t="shared" si="3"/>
        <v>E198</v>
      </c>
      <c r="B199" s="11" t="s">
        <v>328</v>
      </c>
      <c r="C199" s="11" t="s">
        <v>3457</v>
      </c>
      <c r="D199" s="16" t="s">
        <v>3440</v>
      </c>
      <c r="E199" s="11" t="s">
        <v>3441</v>
      </c>
      <c r="G199" s="11" t="s">
        <v>3466</v>
      </c>
      <c r="H199" s="11" t="s">
        <v>3498</v>
      </c>
      <c r="I199" s="11" t="s">
        <v>3444</v>
      </c>
      <c r="J199" s="11" t="s">
        <v>4038</v>
      </c>
    </row>
    <row r="200" spans="1:11" ht="17.25" customHeight="1">
      <c r="A200" s="11" t="str">
        <f t="shared" si="3"/>
        <v>E199</v>
      </c>
      <c r="B200" s="11" t="s">
        <v>206</v>
      </c>
      <c r="C200" s="11" t="s">
        <v>4024</v>
      </c>
      <c r="D200" s="12" t="s">
        <v>3440</v>
      </c>
      <c r="E200" s="11" t="s">
        <v>3464</v>
      </c>
      <c r="G200" s="11" t="s">
        <v>3466</v>
      </c>
      <c r="H200" s="11" t="s">
        <v>3498</v>
      </c>
      <c r="I200" s="11" t="s">
        <v>3444</v>
      </c>
      <c r="J200" s="11" t="s">
        <v>4038</v>
      </c>
    </row>
    <row r="201" spans="1:11" ht="17.25" customHeight="1">
      <c r="A201" s="11" t="str">
        <f t="shared" si="3"/>
        <v>E200</v>
      </c>
      <c r="B201" s="11" t="s">
        <v>3545</v>
      </c>
      <c r="C201" s="11" t="s">
        <v>4032</v>
      </c>
      <c r="D201" s="12" t="s">
        <v>3440</v>
      </c>
      <c r="E201" s="11" t="s">
        <v>3464</v>
      </c>
      <c r="G201" s="11" t="s">
        <v>3466</v>
      </c>
      <c r="H201" s="11" t="s">
        <v>3498</v>
      </c>
      <c r="I201" s="11" t="s">
        <v>3444</v>
      </c>
      <c r="J201" s="11" t="s">
        <v>4038</v>
      </c>
    </row>
    <row r="202" spans="1:11" ht="17.25" customHeight="1">
      <c r="A202" s="11" t="str">
        <f t="shared" si="3"/>
        <v>E201</v>
      </c>
      <c r="B202" s="11" t="s">
        <v>3546</v>
      </c>
      <c r="C202" s="11" t="s">
        <v>3524</v>
      </c>
      <c r="D202" s="12" t="s">
        <v>3440</v>
      </c>
      <c r="G202" s="11" t="s">
        <v>3466</v>
      </c>
      <c r="H202" s="11" t="s">
        <v>3498</v>
      </c>
      <c r="I202" s="11" t="s">
        <v>3444</v>
      </c>
      <c r="J202" s="11" t="s">
        <v>4038</v>
      </c>
    </row>
    <row r="203" spans="1:11" ht="17.25" customHeight="1">
      <c r="A203" s="11" t="str">
        <f t="shared" si="3"/>
        <v>E202</v>
      </c>
      <c r="B203" s="11" t="s">
        <v>1477</v>
      </c>
      <c r="C203" s="11" t="s">
        <v>4029</v>
      </c>
      <c r="D203" t="s">
        <v>3440</v>
      </c>
      <c r="E203" s="11" t="s">
        <v>3462</v>
      </c>
      <c r="G203" s="11" t="s">
        <v>3493</v>
      </c>
      <c r="H203" s="11" t="s">
        <v>3490</v>
      </c>
      <c r="I203" s="11" t="s">
        <v>3477</v>
      </c>
      <c r="J203" s="11" t="s">
        <v>4038</v>
      </c>
    </row>
    <row r="204" spans="1:11" ht="17.25" customHeight="1">
      <c r="A204" s="11" t="str">
        <f t="shared" si="3"/>
        <v>E203</v>
      </c>
      <c r="B204" s="11" t="s">
        <v>1496</v>
      </c>
      <c r="C204" s="11" t="s">
        <v>4029</v>
      </c>
      <c r="D204" t="s">
        <v>3440</v>
      </c>
      <c r="E204" s="11" t="s">
        <v>3451</v>
      </c>
      <c r="G204" s="11" t="s">
        <v>3455</v>
      </c>
      <c r="H204" s="11" t="s">
        <v>3476</v>
      </c>
      <c r="I204" s="11" t="s">
        <v>3477</v>
      </c>
      <c r="J204" s="11" t="s">
        <v>4039</v>
      </c>
      <c r="K204" s="15" t="s">
        <v>3472</v>
      </c>
    </row>
    <row r="205" spans="1:11" ht="17.25" customHeight="1">
      <c r="A205" s="11" t="str">
        <f t="shared" si="3"/>
        <v>E204</v>
      </c>
      <c r="B205" s="11" t="s">
        <v>807</v>
      </c>
      <c r="C205" s="11" t="s">
        <v>4030</v>
      </c>
      <c r="D205" t="s">
        <v>3440</v>
      </c>
      <c r="E205" s="11" t="s">
        <v>3462</v>
      </c>
      <c r="G205" s="11" t="s">
        <v>3446</v>
      </c>
      <c r="H205" s="11" t="s">
        <v>3476</v>
      </c>
      <c r="I205" s="11" t="s">
        <v>3477</v>
      </c>
      <c r="J205" s="11" t="s">
        <v>4038</v>
      </c>
    </row>
    <row r="206" spans="1:11" ht="17.25" customHeight="1">
      <c r="A206" s="11" t="str">
        <f t="shared" si="3"/>
        <v>E205</v>
      </c>
      <c r="B206" s="11" t="s">
        <v>1557</v>
      </c>
      <c r="C206" s="11" t="s">
        <v>3457</v>
      </c>
      <c r="D206" t="s">
        <v>3440</v>
      </c>
      <c r="E206" s="11" t="s">
        <v>3451</v>
      </c>
      <c r="G206" s="11" t="s">
        <v>3446</v>
      </c>
      <c r="H206" s="11" t="s">
        <v>3476</v>
      </c>
      <c r="I206" s="11" t="s">
        <v>3477</v>
      </c>
      <c r="J206" s="11" t="s">
        <v>4038</v>
      </c>
    </row>
    <row r="207" spans="1:11" ht="17.25" customHeight="1">
      <c r="A207" s="11" t="str">
        <f t="shared" si="3"/>
        <v>E206</v>
      </c>
      <c r="B207" s="11" t="s">
        <v>1468</v>
      </c>
      <c r="C207" s="11" t="s">
        <v>4031</v>
      </c>
      <c r="D207" t="s">
        <v>3440</v>
      </c>
      <c r="E207" s="11" t="s">
        <v>3451</v>
      </c>
      <c r="G207" s="11" t="s">
        <v>3446</v>
      </c>
      <c r="H207" s="11" t="s">
        <v>3476</v>
      </c>
      <c r="I207" s="11" t="s">
        <v>3477</v>
      </c>
      <c r="J207" s="11" t="s">
        <v>4038</v>
      </c>
    </row>
    <row r="208" spans="1:11" ht="17.25" customHeight="1">
      <c r="A208" s="11" t="str">
        <f t="shared" si="3"/>
        <v>E207</v>
      </c>
      <c r="B208" s="11" t="s">
        <v>340</v>
      </c>
      <c r="C208" s="11" t="s">
        <v>4024</v>
      </c>
      <c r="D208" t="s">
        <v>3440</v>
      </c>
      <c r="E208" s="11" t="s">
        <v>3458</v>
      </c>
      <c r="G208" s="11" t="s">
        <v>3455</v>
      </c>
      <c r="H208" s="11" t="s">
        <v>3476</v>
      </c>
      <c r="I208" s="11" t="s">
        <v>3477</v>
      </c>
      <c r="J208" s="11" t="s">
        <v>4038</v>
      </c>
    </row>
    <row r="209" spans="1:11" ht="17.25" customHeight="1">
      <c r="A209" s="11" t="str">
        <f t="shared" si="3"/>
        <v>E208</v>
      </c>
      <c r="B209" s="11" t="s">
        <v>1604</v>
      </c>
      <c r="C209" s="11" t="s">
        <v>3457</v>
      </c>
      <c r="D209" s="11" t="s">
        <v>3440</v>
      </c>
      <c r="E209" s="11" t="s">
        <v>3451</v>
      </c>
      <c r="G209" s="11" t="s">
        <v>3442</v>
      </c>
      <c r="H209" s="11" t="s">
        <v>3476</v>
      </c>
      <c r="I209" s="11" t="s">
        <v>3477</v>
      </c>
      <c r="J209" s="11" t="s">
        <v>4038</v>
      </c>
    </row>
    <row r="210" spans="1:11" ht="17.25" customHeight="1">
      <c r="A210" s="11" t="str">
        <f t="shared" si="3"/>
        <v>E209</v>
      </c>
      <c r="B210" s="11" t="s">
        <v>1547</v>
      </c>
      <c r="C210" s="11" t="s">
        <v>4030</v>
      </c>
      <c r="D210" s="11" t="s">
        <v>3440</v>
      </c>
      <c r="E210" s="11" t="s">
        <v>3451</v>
      </c>
      <c r="G210" s="11" t="s">
        <v>3446</v>
      </c>
      <c r="H210" s="11" t="s">
        <v>3479</v>
      </c>
      <c r="I210" s="11" t="s">
        <v>3477</v>
      </c>
      <c r="J210" s="11" t="s">
        <v>4038</v>
      </c>
    </row>
    <row r="211" spans="1:11" ht="17.25" customHeight="1">
      <c r="A211" s="11" t="str">
        <f t="shared" si="3"/>
        <v>E210</v>
      </c>
      <c r="B211" s="11" t="s">
        <v>2185</v>
      </c>
      <c r="C211" s="11" t="s">
        <v>4024</v>
      </c>
      <c r="D211" t="s">
        <v>3440</v>
      </c>
      <c r="E211" s="11" t="s">
        <v>3458</v>
      </c>
      <c r="G211" s="11" t="s">
        <v>3455</v>
      </c>
      <c r="H211" s="11" t="s">
        <v>3476</v>
      </c>
      <c r="I211" s="11" t="s">
        <v>3477</v>
      </c>
      <c r="J211" s="11" t="s">
        <v>4038</v>
      </c>
    </row>
    <row r="212" spans="1:11" ht="17.25" customHeight="1">
      <c r="A212" s="11" t="str">
        <f t="shared" si="3"/>
        <v>E211</v>
      </c>
      <c r="B212" s="11" t="s">
        <v>1662</v>
      </c>
      <c r="C212" s="11" t="s">
        <v>3457</v>
      </c>
      <c r="D212" t="s">
        <v>3440</v>
      </c>
      <c r="E212" s="11" t="s">
        <v>3462</v>
      </c>
      <c r="G212" s="11" t="s">
        <v>3493</v>
      </c>
      <c r="H212" s="11" t="s">
        <v>3476</v>
      </c>
      <c r="I212" s="11" t="s">
        <v>3477</v>
      </c>
      <c r="J212" s="11" t="s">
        <v>4038</v>
      </c>
    </row>
    <row r="213" spans="1:11" ht="17.25" customHeight="1">
      <c r="A213" s="11" t="str">
        <f t="shared" si="3"/>
        <v>E212</v>
      </c>
      <c r="B213" s="11" t="s">
        <v>1678</v>
      </c>
      <c r="C213" s="11" t="s">
        <v>3457</v>
      </c>
      <c r="D213" t="s">
        <v>3440</v>
      </c>
      <c r="E213" s="11" t="s">
        <v>3448</v>
      </c>
      <c r="G213" s="11" t="s">
        <v>3442</v>
      </c>
      <c r="H213" s="11" t="s">
        <v>3476</v>
      </c>
      <c r="I213" s="11" t="s">
        <v>3477</v>
      </c>
      <c r="J213" s="11" t="s">
        <v>4038</v>
      </c>
    </row>
    <row r="214" spans="1:11" ht="17.25" customHeight="1">
      <c r="A214" s="11" t="str">
        <f t="shared" si="3"/>
        <v>E213</v>
      </c>
      <c r="B214" s="11" t="s">
        <v>1749</v>
      </c>
      <c r="C214" s="11" t="s">
        <v>4024</v>
      </c>
      <c r="D214" t="s">
        <v>3440</v>
      </c>
      <c r="E214" s="11" t="s">
        <v>3458</v>
      </c>
      <c r="G214" s="11" t="s">
        <v>3455</v>
      </c>
      <c r="H214" s="11" t="s">
        <v>3476</v>
      </c>
      <c r="I214" s="11" t="s">
        <v>3477</v>
      </c>
      <c r="J214" s="11" t="s">
        <v>4038</v>
      </c>
      <c r="K214" s="15" t="s">
        <v>3472</v>
      </c>
    </row>
    <row r="215" spans="1:11" ht="17.25" customHeight="1">
      <c r="A215" s="11" t="str">
        <f t="shared" si="3"/>
        <v>E214</v>
      </c>
      <c r="B215" s="11" t="s">
        <v>1535</v>
      </c>
      <c r="C215" s="11" t="s">
        <v>3457</v>
      </c>
      <c r="D215" t="s">
        <v>3440</v>
      </c>
      <c r="E215" s="11" t="s">
        <v>3458</v>
      </c>
      <c r="G215" s="11" t="s">
        <v>3446</v>
      </c>
      <c r="H215" s="11" t="s">
        <v>3476</v>
      </c>
      <c r="I215" s="11" t="s">
        <v>3477</v>
      </c>
      <c r="J215" s="11" t="s">
        <v>4037</v>
      </c>
      <c r="K215" s="15" t="s">
        <v>3472</v>
      </c>
    </row>
    <row r="216" spans="1:11" ht="17.25" customHeight="1">
      <c r="A216" s="11" t="str">
        <f t="shared" si="3"/>
        <v>E215</v>
      </c>
      <c r="B216" s="11" t="s">
        <v>1790</v>
      </c>
      <c r="C216" s="11" t="s">
        <v>3524</v>
      </c>
      <c r="D216" t="s">
        <v>3440</v>
      </c>
      <c r="E216" s="11" t="s">
        <v>3448</v>
      </c>
      <c r="G216" s="11" t="s">
        <v>3442</v>
      </c>
      <c r="H216" s="11" t="s">
        <v>3476</v>
      </c>
      <c r="I216" s="11" t="s">
        <v>3477</v>
      </c>
      <c r="J216" s="11" t="s">
        <v>4038</v>
      </c>
      <c r="K216" s="15" t="s">
        <v>3472</v>
      </c>
    </row>
    <row r="217" spans="1:11" ht="17.25" customHeight="1">
      <c r="A217" s="11" t="str">
        <f t="shared" si="3"/>
        <v>E216</v>
      </c>
      <c r="B217" s="11" t="s">
        <v>1838</v>
      </c>
      <c r="C217" s="11" t="s">
        <v>4033</v>
      </c>
      <c r="D217" t="s">
        <v>3440</v>
      </c>
      <c r="E217" s="11" t="s">
        <v>3462</v>
      </c>
      <c r="G217" s="11" t="s">
        <v>3442</v>
      </c>
      <c r="H217" s="11" t="s">
        <v>3476</v>
      </c>
      <c r="I217" s="11" t="s">
        <v>3477</v>
      </c>
      <c r="J217" s="11" t="s">
        <v>4037</v>
      </c>
      <c r="K217" s="15" t="s">
        <v>3472</v>
      </c>
    </row>
    <row r="218" spans="1:11" ht="17.25" customHeight="1">
      <c r="A218" s="11" t="str">
        <f t="shared" si="3"/>
        <v>E217</v>
      </c>
      <c r="B218" s="11" t="s">
        <v>1857</v>
      </c>
      <c r="C218" s="11" t="s">
        <v>4027</v>
      </c>
      <c r="D218" t="s">
        <v>3440</v>
      </c>
      <c r="E218" s="11" t="s">
        <v>3448</v>
      </c>
      <c r="G218" s="11" t="s">
        <v>3442</v>
      </c>
      <c r="H218" s="11" t="s">
        <v>3476</v>
      </c>
      <c r="I218" s="11" t="s">
        <v>3477</v>
      </c>
      <c r="J218" s="11" t="s">
        <v>4038</v>
      </c>
    </row>
    <row r="219" spans="1:11" ht="17.25" customHeight="1">
      <c r="A219" s="11" t="str">
        <f t="shared" si="3"/>
        <v>E218</v>
      </c>
      <c r="B219" s="11" t="s">
        <v>460</v>
      </c>
      <c r="C219" s="11" t="s">
        <v>4024</v>
      </c>
      <c r="D219" t="s">
        <v>3440</v>
      </c>
      <c r="E219" s="11" t="s">
        <v>3458</v>
      </c>
      <c r="G219" s="11" t="s">
        <v>3446</v>
      </c>
      <c r="H219" s="11" t="s">
        <v>3476</v>
      </c>
      <c r="I219" s="11" t="s">
        <v>3477</v>
      </c>
      <c r="J219" s="11" t="s">
        <v>4037</v>
      </c>
      <c r="K219" s="15" t="s">
        <v>3472</v>
      </c>
    </row>
    <row r="220" spans="1:11" ht="17.25" customHeight="1">
      <c r="A220" s="11" t="str">
        <f t="shared" si="3"/>
        <v>E219</v>
      </c>
      <c r="B220" s="11" t="s">
        <v>1876</v>
      </c>
      <c r="C220" s="11" t="s">
        <v>4034</v>
      </c>
      <c r="D220" s="11" t="s">
        <v>3440</v>
      </c>
      <c r="E220" s="11" t="s">
        <v>3448</v>
      </c>
      <c r="G220" s="11" t="s">
        <v>3442</v>
      </c>
      <c r="H220" s="11" t="s">
        <v>3476</v>
      </c>
      <c r="I220" s="11" t="s">
        <v>3477</v>
      </c>
      <c r="J220" s="11" t="s">
        <v>4037</v>
      </c>
      <c r="K220" s="15" t="s">
        <v>3472</v>
      </c>
    </row>
    <row r="221" spans="1:11" ht="17.25" customHeight="1">
      <c r="A221" s="11" t="str">
        <f t="shared" si="3"/>
        <v>E220</v>
      </c>
      <c r="B221" s="11" t="s">
        <v>1778</v>
      </c>
      <c r="C221" s="11" t="s">
        <v>4030</v>
      </c>
      <c r="D221" t="s">
        <v>3440</v>
      </c>
      <c r="E221" s="11" t="s">
        <v>3448</v>
      </c>
      <c r="G221" s="11" t="s">
        <v>3442</v>
      </c>
      <c r="H221" s="11" t="s">
        <v>3476</v>
      </c>
      <c r="I221" s="11" t="s">
        <v>3477</v>
      </c>
      <c r="J221" s="11" t="s">
        <v>4038</v>
      </c>
      <c r="K221" s="15" t="s">
        <v>3472</v>
      </c>
    </row>
    <row r="222" spans="1:11" ht="17.25" customHeight="1">
      <c r="A222" s="11" t="str">
        <f t="shared" si="3"/>
        <v>E221</v>
      </c>
      <c r="B222" s="11" t="s">
        <v>403</v>
      </c>
      <c r="C222" s="11" t="s">
        <v>4032</v>
      </c>
      <c r="D222" t="s">
        <v>3440</v>
      </c>
      <c r="E222" s="11" t="s">
        <v>3448</v>
      </c>
      <c r="G222" s="11" t="s">
        <v>3455</v>
      </c>
      <c r="H222" s="11" t="s">
        <v>3476</v>
      </c>
      <c r="I222" s="11" t="s">
        <v>3477</v>
      </c>
      <c r="J222" s="11" t="s">
        <v>4038</v>
      </c>
      <c r="K222" s="15" t="s">
        <v>3472</v>
      </c>
    </row>
    <row r="223" spans="1:11" ht="17.25" customHeight="1">
      <c r="A223" s="11" t="str">
        <f t="shared" si="3"/>
        <v>E222</v>
      </c>
      <c r="B223" s="11" t="s">
        <v>3547</v>
      </c>
      <c r="C223" s="11" t="s">
        <v>4025</v>
      </c>
      <c r="D223" s="11" t="s">
        <v>3440</v>
      </c>
      <c r="E223" s="11" t="s">
        <v>3468</v>
      </c>
      <c r="G223" s="11" t="s">
        <v>3442</v>
      </c>
      <c r="H223" s="11" t="s">
        <v>3476</v>
      </c>
      <c r="I223" s="11" t="s">
        <v>3477</v>
      </c>
      <c r="J223" s="11" t="s">
        <v>4037</v>
      </c>
      <c r="K223" s="15" t="s">
        <v>3472</v>
      </c>
    </row>
    <row r="224" spans="1:11" ht="17.25" customHeight="1">
      <c r="A224" s="11" t="str">
        <f t="shared" si="3"/>
        <v>E223</v>
      </c>
      <c r="B224" s="11" t="s">
        <v>1979</v>
      </c>
      <c r="C224" s="11" t="s">
        <v>4026</v>
      </c>
      <c r="D224" t="s">
        <v>3440</v>
      </c>
      <c r="E224" s="11" t="s">
        <v>3458</v>
      </c>
      <c r="G224" s="11" t="s">
        <v>3455</v>
      </c>
      <c r="H224" s="11" t="s">
        <v>3476</v>
      </c>
      <c r="I224" s="11" t="s">
        <v>3477</v>
      </c>
      <c r="J224" s="11" t="s">
        <v>4037</v>
      </c>
      <c r="K224" s="15" t="s">
        <v>3472</v>
      </c>
    </row>
    <row r="225" spans="1:11" ht="17.25" customHeight="1">
      <c r="A225" s="11" t="str">
        <f t="shared" si="3"/>
        <v>E224</v>
      </c>
      <c r="B225" s="11" t="s">
        <v>1992</v>
      </c>
      <c r="C225" s="11" t="s">
        <v>3524</v>
      </c>
      <c r="D225" s="11" t="s">
        <v>3440</v>
      </c>
      <c r="E225" s="11" t="s">
        <v>3441</v>
      </c>
      <c r="G225" s="11" t="s">
        <v>3446</v>
      </c>
      <c r="H225" s="11" t="s">
        <v>3476</v>
      </c>
      <c r="I225" s="11" t="s">
        <v>3477</v>
      </c>
      <c r="J225" s="11" t="s">
        <v>4039</v>
      </c>
      <c r="K225" s="15" t="s">
        <v>3472</v>
      </c>
    </row>
    <row r="226" spans="1:11" ht="17.25" customHeight="1">
      <c r="A226" s="11" t="str">
        <f t="shared" si="3"/>
        <v>E225</v>
      </c>
      <c r="B226" s="11" t="s">
        <v>2016</v>
      </c>
      <c r="C226" s="11" t="s">
        <v>4030</v>
      </c>
      <c r="D226" t="s">
        <v>3440</v>
      </c>
      <c r="E226" s="11" t="s">
        <v>3441</v>
      </c>
      <c r="G226" s="11" t="s">
        <v>3446</v>
      </c>
      <c r="H226" s="11" t="s">
        <v>3476</v>
      </c>
      <c r="I226" s="11" t="s">
        <v>3477</v>
      </c>
      <c r="J226" s="11" t="s">
        <v>4035</v>
      </c>
      <c r="K226" s="15" t="s">
        <v>3472</v>
      </c>
    </row>
    <row r="227" spans="1:11" ht="17.25" customHeight="1">
      <c r="A227" s="11" t="str">
        <f t="shared" si="3"/>
        <v>E226</v>
      </c>
      <c r="B227" s="11" t="s">
        <v>891</v>
      </c>
      <c r="C227" s="11" t="s">
        <v>4030</v>
      </c>
      <c r="D227" s="11" t="s">
        <v>3440</v>
      </c>
      <c r="E227" s="11" t="s">
        <v>3441</v>
      </c>
      <c r="G227" s="11" t="s">
        <v>3442</v>
      </c>
      <c r="H227" s="11" t="s">
        <v>3476</v>
      </c>
      <c r="I227" s="11" t="s">
        <v>3477</v>
      </c>
      <c r="J227" s="11" t="s">
        <v>4037</v>
      </c>
      <c r="K227" s="15" t="s">
        <v>3472</v>
      </c>
    </row>
    <row r="228" spans="1:11" ht="17.25" customHeight="1">
      <c r="A228" s="11" t="str">
        <f t="shared" si="3"/>
        <v>E227</v>
      </c>
      <c r="B228" s="11" t="s">
        <v>714</v>
      </c>
      <c r="C228" s="11" t="s">
        <v>3524</v>
      </c>
      <c r="D228" t="s">
        <v>3440</v>
      </c>
      <c r="E228" s="11" t="s">
        <v>3441</v>
      </c>
      <c r="G228" s="11" t="s">
        <v>3442</v>
      </c>
      <c r="H228" s="11" t="s">
        <v>3476</v>
      </c>
      <c r="I228" s="11" t="s">
        <v>3477</v>
      </c>
      <c r="J228" s="11" t="s">
        <v>4038</v>
      </c>
      <c r="K228" s="15" t="s">
        <v>3472</v>
      </c>
    </row>
    <row r="229" spans="1:11" ht="17.25" customHeight="1">
      <c r="A229" s="11" t="str">
        <f t="shared" si="3"/>
        <v>E228</v>
      </c>
      <c r="B229" s="11" t="s">
        <v>308</v>
      </c>
      <c r="C229" s="11" t="s">
        <v>4026</v>
      </c>
      <c r="D229" s="16" t="s">
        <v>3440</v>
      </c>
      <c r="E229" s="11" t="s">
        <v>3441</v>
      </c>
      <c r="G229" s="11" t="s">
        <v>3466</v>
      </c>
      <c r="H229" s="11" t="s">
        <v>3443</v>
      </c>
      <c r="I229" s="11" t="s">
        <v>3444</v>
      </c>
      <c r="J229" s="11" t="s">
        <v>4038</v>
      </c>
    </row>
    <row r="230" spans="1:11" ht="17.25" customHeight="1">
      <c r="A230" s="11" t="str">
        <f t="shared" si="3"/>
        <v>E229</v>
      </c>
      <c r="B230" s="11" t="s">
        <v>3548</v>
      </c>
      <c r="C230" s="11" t="s">
        <v>4023</v>
      </c>
      <c r="D230" s="16" t="s">
        <v>3440</v>
      </c>
      <c r="E230" s="11" t="s">
        <v>3468</v>
      </c>
      <c r="G230" s="11" t="s">
        <v>3466</v>
      </c>
      <c r="H230" s="11" t="s">
        <v>3443</v>
      </c>
      <c r="I230" s="11" t="s">
        <v>3444</v>
      </c>
      <c r="J230" s="11" t="s">
        <v>4038</v>
      </c>
    </row>
    <row r="231" spans="1:11" ht="17.25" customHeight="1">
      <c r="A231" s="11" t="str">
        <f t="shared" si="3"/>
        <v>E230</v>
      </c>
      <c r="B231" s="11" t="s">
        <v>2526</v>
      </c>
      <c r="C231" s="11" t="s">
        <v>4029</v>
      </c>
      <c r="D231" t="s">
        <v>3440</v>
      </c>
      <c r="E231" s="11" t="s">
        <v>3448</v>
      </c>
      <c r="G231" s="11" t="s">
        <v>3442</v>
      </c>
      <c r="H231" s="11" t="s">
        <v>3500</v>
      </c>
      <c r="I231" s="11" t="s">
        <v>3477</v>
      </c>
      <c r="J231" s="11" t="s">
        <v>4038</v>
      </c>
      <c r="K231" s="15" t="s">
        <v>3472</v>
      </c>
    </row>
    <row r="232" spans="1:11" ht="17.25" customHeight="1">
      <c r="A232" s="11" t="str">
        <f t="shared" si="3"/>
        <v>E231</v>
      </c>
      <c r="B232" s="11" t="s">
        <v>2549</v>
      </c>
      <c r="C232" s="11" t="s">
        <v>4029</v>
      </c>
      <c r="D232" t="s">
        <v>3440</v>
      </c>
      <c r="E232" s="11" t="s">
        <v>3468</v>
      </c>
      <c r="G232" s="11" t="s">
        <v>3442</v>
      </c>
      <c r="H232" s="11" t="s">
        <v>3500</v>
      </c>
      <c r="I232" s="11" t="s">
        <v>3477</v>
      </c>
      <c r="J232" s="11" t="s">
        <v>4038</v>
      </c>
    </row>
    <row r="233" spans="1:11" ht="17.25" customHeight="1">
      <c r="A233" s="11" t="str">
        <f t="shared" si="3"/>
        <v>E232</v>
      </c>
      <c r="B233" s="11" t="s">
        <v>2558</v>
      </c>
      <c r="C233" s="11" t="s">
        <v>4029</v>
      </c>
      <c r="D233" t="s">
        <v>3440</v>
      </c>
      <c r="E233" s="11" t="s">
        <v>3478</v>
      </c>
      <c r="G233" s="11" t="s">
        <v>3442</v>
      </c>
      <c r="H233" s="11" t="s">
        <v>3500</v>
      </c>
      <c r="I233" s="11" t="s">
        <v>3477</v>
      </c>
      <c r="J233" s="11" t="s">
        <v>4038</v>
      </c>
      <c r="K233" s="15" t="s">
        <v>3472</v>
      </c>
    </row>
    <row r="234" spans="1:11" ht="17.25" customHeight="1">
      <c r="A234" s="11" t="str">
        <f t="shared" si="3"/>
        <v>E233</v>
      </c>
      <c r="B234" s="11" t="s">
        <v>354</v>
      </c>
      <c r="C234" s="11" t="s">
        <v>4029</v>
      </c>
      <c r="D234" t="s">
        <v>3440</v>
      </c>
      <c r="E234" s="11" t="s">
        <v>3458</v>
      </c>
      <c r="G234" s="11" t="s">
        <v>3455</v>
      </c>
      <c r="H234" s="11" t="s">
        <v>3500</v>
      </c>
      <c r="I234" s="11" t="s">
        <v>3477</v>
      </c>
      <c r="J234" s="11" t="s">
        <v>4038</v>
      </c>
    </row>
    <row r="235" spans="1:11" ht="17.25" customHeight="1">
      <c r="A235" s="11" t="str">
        <f t="shared" si="3"/>
        <v>E234</v>
      </c>
      <c r="B235" s="11" t="s">
        <v>2451</v>
      </c>
      <c r="C235" s="11" t="s">
        <v>4029</v>
      </c>
      <c r="D235" t="s">
        <v>3440</v>
      </c>
      <c r="E235" s="11" t="s">
        <v>3448</v>
      </c>
      <c r="G235" s="11" t="s">
        <v>3442</v>
      </c>
      <c r="H235" s="11" t="s">
        <v>3500</v>
      </c>
      <c r="I235" s="11" t="s">
        <v>3477</v>
      </c>
      <c r="J235" s="11" t="s">
        <v>4037</v>
      </c>
      <c r="K235" s="15" t="s">
        <v>3472</v>
      </c>
    </row>
    <row r="236" spans="1:11" ht="17.25" customHeight="1">
      <c r="A236" s="11" t="str">
        <f t="shared" si="3"/>
        <v>E235</v>
      </c>
      <c r="B236" s="11" t="s">
        <v>186</v>
      </c>
      <c r="C236" s="11" t="s">
        <v>4029</v>
      </c>
      <c r="D236" t="s">
        <v>3440</v>
      </c>
      <c r="E236" s="11" t="s">
        <v>3458</v>
      </c>
      <c r="G236" s="11" t="s">
        <v>3455</v>
      </c>
      <c r="H236" s="11" t="s">
        <v>3500</v>
      </c>
      <c r="I236" s="11" t="s">
        <v>3477</v>
      </c>
      <c r="J236" s="11" t="s">
        <v>4038</v>
      </c>
    </row>
    <row r="237" spans="1:11" ht="17.25" customHeight="1">
      <c r="A237" s="11" t="str">
        <f t="shared" si="3"/>
        <v>E236</v>
      </c>
      <c r="B237" s="11" t="s">
        <v>1815</v>
      </c>
      <c r="C237" s="11" t="s">
        <v>4024</v>
      </c>
      <c r="D237" t="s">
        <v>3440</v>
      </c>
      <c r="E237" s="11" t="s">
        <v>3478</v>
      </c>
      <c r="G237" s="11" t="s">
        <v>3455</v>
      </c>
      <c r="H237" s="11" t="s">
        <v>3500</v>
      </c>
      <c r="I237" s="11" t="s">
        <v>3477</v>
      </c>
      <c r="J237" s="11" t="s">
        <v>4037</v>
      </c>
      <c r="K237" s="15" t="s">
        <v>3472</v>
      </c>
    </row>
    <row r="238" spans="1:11" ht="17.25" customHeight="1">
      <c r="A238" s="11" t="str">
        <f t="shared" si="3"/>
        <v>E237</v>
      </c>
      <c r="B238" s="11" t="s">
        <v>2356</v>
      </c>
      <c r="C238" s="11" t="s">
        <v>4034</v>
      </c>
      <c r="D238" s="16" t="s">
        <v>3440</v>
      </c>
      <c r="E238" s="11" t="s">
        <v>3441</v>
      </c>
      <c r="F238" s="11" t="s">
        <v>3441</v>
      </c>
      <c r="G238" s="11" t="s">
        <v>3466</v>
      </c>
      <c r="H238" s="11" t="s">
        <v>3498</v>
      </c>
      <c r="I238" s="11" t="s">
        <v>3444</v>
      </c>
      <c r="J238" s="11" t="s">
        <v>4038</v>
      </c>
    </row>
    <row r="239" spans="1:11" ht="17.25" customHeight="1">
      <c r="A239" s="11" t="str">
        <f t="shared" si="3"/>
        <v>E238</v>
      </c>
      <c r="B239" s="11" t="s">
        <v>3549</v>
      </c>
      <c r="C239" s="11" t="s">
        <v>3457</v>
      </c>
      <c r="D239" t="s">
        <v>3440</v>
      </c>
      <c r="E239" s="11" t="s">
        <v>3464</v>
      </c>
      <c r="F239" s="11" t="s">
        <v>3465</v>
      </c>
      <c r="G239" s="11" t="s">
        <v>3466</v>
      </c>
      <c r="H239" s="11" t="s">
        <v>3443</v>
      </c>
      <c r="I239" s="11" t="s">
        <v>3444</v>
      </c>
      <c r="J239" s="11" t="s">
        <v>4038</v>
      </c>
    </row>
    <row r="240" spans="1:11" ht="17.25" customHeight="1">
      <c r="A240" s="11" t="str">
        <f t="shared" si="3"/>
        <v>E239</v>
      </c>
      <c r="B240" s="11" t="s">
        <v>2376</v>
      </c>
      <c r="C240" s="11" t="s">
        <v>4023</v>
      </c>
      <c r="D240" t="s">
        <v>3440</v>
      </c>
      <c r="E240" s="11" t="s">
        <v>3441</v>
      </c>
      <c r="F240" s="11" t="s">
        <v>3441</v>
      </c>
      <c r="G240" s="11" t="s">
        <v>3475</v>
      </c>
      <c r="H240" s="11" t="s">
        <v>3490</v>
      </c>
      <c r="I240" s="11" t="s">
        <v>3444</v>
      </c>
      <c r="J240" s="11" t="s">
        <v>4038</v>
      </c>
    </row>
    <row r="241" spans="1:11" ht="17.25" customHeight="1">
      <c r="A241" s="11" t="str">
        <f t="shared" si="3"/>
        <v>E240</v>
      </c>
      <c r="B241" s="11" t="s">
        <v>2451</v>
      </c>
      <c r="C241" s="11" t="s">
        <v>4034</v>
      </c>
      <c r="D241" s="11" t="s">
        <v>3440</v>
      </c>
      <c r="E241" s="11" t="s">
        <v>3468</v>
      </c>
      <c r="F241" s="11" t="s">
        <v>3550</v>
      </c>
      <c r="G241" s="11" t="s">
        <v>3466</v>
      </c>
      <c r="H241" s="11" t="s">
        <v>3551</v>
      </c>
      <c r="I241" s="11" t="s">
        <v>3477</v>
      </c>
      <c r="J241" s="11" t="s">
        <v>4039</v>
      </c>
      <c r="K241" s="15" t="s">
        <v>3472</v>
      </c>
    </row>
    <row r="242" spans="1:11" ht="17.25" customHeight="1">
      <c r="A242" s="11" t="str">
        <f t="shared" si="3"/>
        <v>E241</v>
      </c>
      <c r="B242" s="11" t="s">
        <v>652</v>
      </c>
      <c r="C242" s="11" t="s">
        <v>4034</v>
      </c>
      <c r="D242" t="s">
        <v>3440</v>
      </c>
      <c r="E242" s="11" t="s">
        <v>3468</v>
      </c>
      <c r="F242" s="11" t="s">
        <v>3550</v>
      </c>
      <c r="G242" s="11" t="s">
        <v>3442</v>
      </c>
      <c r="H242" s="11" t="s">
        <v>3551</v>
      </c>
      <c r="I242" s="11" t="s">
        <v>3477</v>
      </c>
      <c r="J242" s="11" t="s">
        <v>4038</v>
      </c>
    </row>
    <row r="243" spans="1:11" ht="17.25" customHeight="1">
      <c r="A243" s="11" t="str">
        <f t="shared" si="3"/>
        <v>E242</v>
      </c>
      <c r="B243" s="11" t="s">
        <v>1790</v>
      </c>
      <c r="C243" s="11" t="s">
        <v>4027</v>
      </c>
      <c r="D243" t="s">
        <v>3440</v>
      </c>
      <c r="E243" s="11" t="s">
        <v>3441</v>
      </c>
      <c r="F243" s="11" t="s">
        <v>3441</v>
      </c>
      <c r="G243" s="11" t="s">
        <v>3441</v>
      </c>
      <c r="H243" s="11" t="s">
        <v>3443</v>
      </c>
      <c r="I243" s="11" t="s">
        <v>3444</v>
      </c>
      <c r="J243" s="11" t="s">
        <v>4039</v>
      </c>
    </row>
    <row r="244" spans="1:11" ht="17.25" customHeight="1">
      <c r="A244" s="11" t="str">
        <f t="shared" si="3"/>
        <v>E243</v>
      </c>
      <c r="B244" s="11" t="s">
        <v>3532</v>
      </c>
      <c r="C244" s="11" t="s">
        <v>4023</v>
      </c>
      <c r="D244" s="11" t="s">
        <v>3440</v>
      </c>
      <c r="E244" s="11" t="s">
        <v>3441</v>
      </c>
      <c r="F244" s="11" t="s">
        <v>3441</v>
      </c>
      <c r="G244" s="11" t="s">
        <v>3442</v>
      </c>
      <c r="H244" s="11" t="s">
        <v>3552</v>
      </c>
      <c r="I244" s="11" t="s">
        <v>3477</v>
      </c>
      <c r="J244" s="11" t="s">
        <v>4038</v>
      </c>
    </row>
    <row r="245" spans="1:11" ht="17.25" customHeight="1">
      <c r="A245" s="11" t="str">
        <f t="shared" si="3"/>
        <v>E244</v>
      </c>
      <c r="B245" s="11" t="s">
        <v>2313</v>
      </c>
      <c r="C245" s="11" t="s">
        <v>4033</v>
      </c>
      <c r="D245" s="11" t="s">
        <v>3440</v>
      </c>
      <c r="E245" s="11" t="s">
        <v>3441</v>
      </c>
      <c r="F245" s="11" t="s">
        <v>3441</v>
      </c>
      <c r="G245" s="11" t="s">
        <v>3442</v>
      </c>
      <c r="H245" s="11" t="s">
        <v>3552</v>
      </c>
      <c r="I245" s="11" t="s">
        <v>3477</v>
      </c>
      <c r="J245" s="11" t="s">
        <v>4038</v>
      </c>
      <c r="K245" s="15" t="s">
        <v>3472</v>
      </c>
    </row>
    <row r="246" spans="1:11" ht="17.25" customHeight="1">
      <c r="A246" s="11" t="str">
        <f t="shared" si="3"/>
        <v>E245</v>
      </c>
      <c r="B246" s="11" t="s">
        <v>376</v>
      </c>
      <c r="C246" s="11" t="s">
        <v>4024</v>
      </c>
      <c r="D246" s="16" t="s">
        <v>3440</v>
      </c>
      <c r="E246" s="11" t="s">
        <v>3441</v>
      </c>
      <c r="F246" s="11" t="s">
        <v>3441</v>
      </c>
      <c r="G246" s="11" t="s">
        <v>3455</v>
      </c>
      <c r="H246" s="11" t="s">
        <v>3552</v>
      </c>
      <c r="I246" s="11" t="s">
        <v>3477</v>
      </c>
      <c r="J246" s="11" t="s">
        <v>4038</v>
      </c>
    </row>
    <row r="247" spans="1:11" ht="17.25" customHeight="1">
      <c r="A247" s="11" t="str">
        <f t="shared" si="3"/>
        <v>E246</v>
      </c>
      <c r="B247" s="11" t="s">
        <v>1085</v>
      </c>
      <c r="C247" s="11" t="s">
        <v>4024</v>
      </c>
      <c r="D247" t="s">
        <v>3440</v>
      </c>
      <c r="E247" s="11" t="s">
        <v>3441</v>
      </c>
      <c r="F247" s="11" t="s">
        <v>3441</v>
      </c>
      <c r="G247" s="11" t="s">
        <v>3442</v>
      </c>
      <c r="H247" s="11" t="s">
        <v>3552</v>
      </c>
      <c r="I247" s="11" t="s">
        <v>3477</v>
      </c>
      <c r="J247" s="11" t="s">
        <v>4038</v>
      </c>
      <c r="K247" s="15" t="s">
        <v>3472</v>
      </c>
    </row>
    <row r="248" spans="1:11" ht="17.25" customHeight="1">
      <c r="A248" s="11" t="str">
        <f t="shared" si="3"/>
        <v>E247</v>
      </c>
      <c r="B248" s="11" t="s">
        <v>3553</v>
      </c>
      <c r="C248" s="11" t="s">
        <v>4024</v>
      </c>
      <c r="D248" t="s">
        <v>3440</v>
      </c>
      <c r="E248" s="11" t="s">
        <v>3441</v>
      </c>
      <c r="F248" s="11" t="s">
        <v>3441</v>
      </c>
      <c r="G248" s="11" t="s">
        <v>3466</v>
      </c>
      <c r="H248" s="11" t="s">
        <v>3490</v>
      </c>
      <c r="I248" s="11" t="s">
        <v>3477</v>
      </c>
      <c r="J248" s="11" t="s">
        <v>4037</v>
      </c>
      <c r="K248" s="15" t="s">
        <v>3472</v>
      </c>
    </row>
    <row r="249" spans="1:11" ht="17.25" customHeight="1">
      <c r="A249" s="11" t="str">
        <f t="shared" si="3"/>
        <v>E248</v>
      </c>
      <c r="B249" s="11" t="s">
        <v>2635</v>
      </c>
      <c r="C249" s="11" t="s">
        <v>4029</v>
      </c>
      <c r="D249" s="11" t="s">
        <v>3440</v>
      </c>
      <c r="E249" s="11" t="s">
        <v>3448</v>
      </c>
      <c r="G249" s="11" t="s">
        <v>3442</v>
      </c>
      <c r="H249" s="11" t="s">
        <v>3490</v>
      </c>
      <c r="I249" s="11" t="s">
        <v>3477</v>
      </c>
      <c r="J249" s="11" t="s">
        <v>4038</v>
      </c>
      <c r="K249" s="15" t="s">
        <v>3472</v>
      </c>
    </row>
    <row r="250" spans="1:11" ht="17.25" customHeight="1">
      <c r="A250" s="11" t="str">
        <f t="shared" si="3"/>
        <v>E249</v>
      </c>
      <c r="B250" s="11" t="s">
        <v>538</v>
      </c>
      <c r="C250" s="11" t="s">
        <v>4029</v>
      </c>
      <c r="D250" s="11" t="s">
        <v>3440</v>
      </c>
      <c r="E250" s="11" t="s">
        <v>3448</v>
      </c>
      <c r="G250" s="11" t="s">
        <v>3442</v>
      </c>
      <c r="H250" s="11" t="s">
        <v>3554</v>
      </c>
      <c r="I250" s="11" t="s">
        <v>3477</v>
      </c>
      <c r="J250" s="11" t="s">
        <v>4037</v>
      </c>
      <c r="K250" s="15" t="s">
        <v>3472</v>
      </c>
    </row>
    <row r="251" spans="1:11" ht="17.25" customHeight="1">
      <c r="A251" s="11" t="str">
        <f t="shared" si="3"/>
        <v>E250</v>
      </c>
      <c r="B251" s="11" t="s">
        <v>3555</v>
      </c>
      <c r="C251" s="11" t="s">
        <v>4034</v>
      </c>
      <c r="D251" s="16" t="s">
        <v>3440</v>
      </c>
      <c r="E251" s="11" t="s">
        <v>3441</v>
      </c>
      <c r="F251" s="11" t="s">
        <v>3441</v>
      </c>
      <c r="G251" s="11" t="s">
        <v>3466</v>
      </c>
      <c r="H251" s="11" t="s">
        <v>3443</v>
      </c>
      <c r="I251" s="11" t="s">
        <v>3444</v>
      </c>
      <c r="J251" s="11" t="s">
        <v>4038</v>
      </c>
    </row>
    <row r="252" spans="1:11" ht="17.25" customHeight="1">
      <c r="A252" s="11" t="str">
        <f t="shared" si="3"/>
        <v>E251</v>
      </c>
      <c r="B252" s="11" t="s">
        <v>2229</v>
      </c>
      <c r="C252" s="11" t="s">
        <v>4032</v>
      </c>
      <c r="D252" s="16" t="s">
        <v>3440</v>
      </c>
      <c r="E252" s="11" t="s">
        <v>3464</v>
      </c>
      <c r="F252" s="11" t="s">
        <v>3465</v>
      </c>
      <c r="G252" s="11" t="s">
        <v>3466</v>
      </c>
      <c r="H252" s="11" t="s">
        <v>3443</v>
      </c>
      <c r="I252" s="11" t="s">
        <v>3444</v>
      </c>
      <c r="J252" s="11" t="s">
        <v>4038</v>
      </c>
    </row>
    <row r="253" spans="1:11" ht="17.25" customHeight="1">
      <c r="A253" s="11" t="str">
        <f t="shared" si="3"/>
        <v>E252</v>
      </c>
      <c r="B253" s="46" t="s">
        <v>3556</v>
      </c>
      <c r="C253" s="11" t="s">
        <v>4030</v>
      </c>
      <c r="D253" s="16" t="s">
        <v>3440</v>
      </c>
      <c r="E253" s="11" t="s">
        <v>3448</v>
      </c>
      <c r="G253" s="11" t="s">
        <v>3466</v>
      </c>
      <c r="H253" s="11" t="s">
        <v>3443</v>
      </c>
      <c r="I253" s="11" t="s">
        <v>3444</v>
      </c>
      <c r="J253" s="11" t="s">
        <v>4038</v>
      </c>
    </row>
    <row r="254" spans="1:11" ht="17.25" customHeight="1">
      <c r="A254" s="11" t="str">
        <f t="shared" si="3"/>
        <v>E253</v>
      </c>
      <c r="B254" s="11" t="s">
        <v>3557</v>
      </c>
      <c r="C254" s="11" t="s">
        <v>4029</v>
      </c>
      <c r="D254" s="16" t="s">
        <v>3440</v>
      </c>
      <c r="E254" s="11" t="s">
        <v>3462</v>
      </c>
      <c r="F254" s="11" t="s">
        <v>3463</v>
      </c>
      <c r="G254" s="11" t="s">
        <v>3442</v>
      </c>
      <c r="H254" s="11" t="s">
        <v>3443</v>
      </c>
      <c r="I254" s="11" t="s">
        <v>3444</v>
      </c>
      <c r="J254" s="11" t="s">
        <v>4038</v>
      </c>
    </row>
    <row r="255" spans="1:11" ht="17.25" customHeight="1">
      <c r="A255" s="11" t="str">
        <f t="shared" si="3"/>
        <v>E254</v>
      </c>
      <c r="B255" s="11" t="s">
        <v>3558</v>
      </c>
      <c r="C255" s="11" t="s">
        <v>3457</v>
      </c>
      <c r="D255" t="s">
        <v>3440</v>
      </c>
      <c r="E255" s="11" t="s">
        <v>3468</v>
      </c>
      <c r="F255" s="11" t="s">
        <v>3550</v>
      </c>
      <c r="G255" s="11" t="s">
        <v>3466</v>
      </c>
      <c r="H255" s="11" t="s">
        <v>3443</v>
      </c>
      <c r="I255" s="11" t="s">
        <v>3444</v>
      </c>
      <c r="J255" s="11" t="s">
        <v>4038</v>
      </c>
    </row>
    <row r="256" spans="1:11" ht="17.25" customHeight="1">
      <c r="A256" s="11" t="str">
        <f t="shared" si="3"/>
        <v>E255</v>
      </c>
      <c r="B256" s="11" t="s">
        <v>1547</v>
      </c>
      <c r="C256" s="11" t="s">
        <v>3524</v>
      </c>
      <c r="D256" s="16" t="s">
        <v>3440</v>
      </c>
      <c r="E256" s="11" t="s">
        <v>3468</v>
      </c>
      <c r="F256" s="11" t="s">
        <v>3550</v>
      </c>
      <c r="G256" s="11" t="s">
        <v>3466</v>
      </c>
      <c r="H256" s="11" t="s">
        <v>3443</v>
      </c>
      <c r="I256" s="11" t="s">
        <v>3444</v>
      </c>
      <c r="J256" s="11" t="s">
        <v>4038</v>
      </c>
    </row>
    <row r="257" spans="1:10" ht="17.25" customHeight="1">
      <c r="A257" s="11" t="str">
        <f t="shared" si="3"/>
        <v>E256</v>
      </c>
      <c r="B257" s="11" t="s">
        <v>3559</v>
      </c>
      <c r="C257" s="11" t="s">
        <v>4034</v>
      </c>
      <c r="D257" s="16" t="s">
        <v>3440</v>
      </c>
      <c r="E257" s="11" t="s">
        <v>3468</v>
      </c>
      <c r="F257" s="11" t="s">
        <v>3550</v>
      </c>
      <c r="G257" s="11" t="s">
        <v>3466</v>
      </c>
      <c r="H257" s="11" t="s">
        <v>3443</v>
      </c>
      <c r="I257" s="11" t="s">
        <v>3444</v>
      </c>
      <c r="J257" s="11" t="s">
        <v>4038</v>
      </c>
    </row>
    <row r="258" spans="1:10" ht="17.25" customHeight="1">
      <c r="A258" s="11" t="str">
        <f t="shared" ref="A258:A321" si="4">_xlfn.CONCAT("E",TEXT(ROW()-1,"000"))</f>
        <v>E257</v>
      </c>
      <c r="B258" s="11" t="s">
        <v>3560</v>
      </c>
      <c r="C258" s="11" t="s">
        <v>3457</v>
      </c>
      <c r="D258" s="16" t="s">
        <v>3440</v>
      </c>
      <c r="E258" s="11" t="s">
        <v>3468</v>
      </c>
      <c r="F258" s="11" t="s">
        <v>3550</v>
      </c>
      <c r="G258" s="11" t="s">
        <v>3466</v>
      </c>
      <c r="H258" s="11" t="s">
        <v>3443</v>
      </c>
      <c r="I258" s="11" t="s">
        <v>3444</v>
      </c>
      <c r="J258" s="11" t="s">
        <v>4038</v>
      </c>
    </row>
    <row r="259" spans="1:10" ht="17.25" customHeight="1">
      <c r="A259" s="11" t="str">
        <f t="shared" si="4"/>
        <v>E258</v>
      </c>
      <c r="B259" s="11" t="s">
        <v>3190</v>
      </c>
      <c r="C259" s="11" t="s">
        <v>4026</v>
      </c>
      <c r="D259" s="20" t="s">
        <v>3440</v>
      </c>
      <c r="E259" s="11" t="s">
        <v>3468</v>
      </c>
      <c r="F259" s="11" t="s">
        <v>3550</v>
      </c>
      <c r="G259" s="11" t="s">
        <v>3466</v>
      </c>
      <c r="H259" s="11" t="s">
        <v>3443</v>
      </c>
      <c r="I259" s="11" t="s">
        <v>3444</v>
      </c>
      <c r="J259" s="11" t="s">
        <v>4038</v>
      </c>
    </row>
    <row r="260" spans="1:10" ht="17.25" customHeight="1">
      <c r="A260" s="11" t="str">
        <f t="shared" si="4"/>
        <v>E259</v>
      </c>
      <c r="B260" s="11" t="s">
        <v>1547</v>
      </c>
      <c r="C260" s="11" t="s">
        <v>4024</v>
      </c>
      <c r="D260" s="20" t="s">
        <v>3440</v>
      </c>
      <c r="E260" s="11" t="s">
        <v>3441</v>
      </c>
      <c r="F260" s="11" t="s">
        <v>3441</v>
      </c>
      <c r="G260" s="11" t="s">
        <v>3442</v>
      </c>
      <c r="H260" s="11" t="s">
        <v>3443</v>
      </c>
      <c r="I260" s="11" t="s">
        <v>3444</v>
      </c>
      <c r="J260" s="11" t="s">
        <v>4038</v>
      </c>
    </row>
    <row r="261" spans="1:10" ht="17.25" customHeight="1">
      <c r="A261" s="11" t="str">
        <f t="shared" si="4"/>
        <v>E260</v>
      </c>
      <c r="B261" s="11" t="s">
        <v>1910</v>
      </c>
      <c r="C261" s="11" t="s">
        <v>4034</v>
      </c>
      <c r="D261" s="16" t="s">
        <v>3440</v>
      </c>
      <c r="E261" s="11" t="s">
        <v>3441</v>
      </c>
      <c r="F261" s="11" t="s">
        <v>3441</v>
      </c>
      <c r="G261" s="11" t="s">
        <v>3466</v>
      </c>
      <c r="H261" s="11" t="s">
        <v>3476</v>
      </c>
      <c r="I261" s="11" t="s">
        <v>3444</v>
      </c>
      <c r="J261" s="11" t="s">
        <v>4039</v>
      </c>
    </row>
    <row r="262" spans="1:10" ht="17.25" customHeight="1">
      <c r="A262" s="11" t="str">
        <f t="shared" si="4"/>
        <v>E261</v>
      </c>
      <c r="B262" s="11" t="s">
        <v>2129</v>
      </c>
      <c r="C262" s="11" t="s">
        <v>4033</v>
      </c>
      <c r="D262" s="16" t="s">
        <v>3440</v>
      </c>
      <c r="E262" s="11" t="s">
        <v>3448</v>
      </c>
      <c r="F262" s="11" t="s">
        <v>3449</v>
      </c>
      <c r="G262" s="11" t="s">
        <v>3455</v>
      </c>
      <c r="H262" s="11" t="s">
        <v>3561</v>
      </c>
      <c r="I262" s="11" t="s">
        <v>3444</v>
      </c>
      <c r="J262" s="11" t="s">
        <v>4038</v>
      </c>
    </row>
    <row r="263" spans="1:10" ht="17.25" customHeight="1">
      <c r="A263" s="11" t="str">
        <f t="shared" si="4"/>
        <v>E262</v>
      </c>
      <c r="B263" s="11" t="s">
        <v>3536</v>
      </c>
      <c r="C263" s="11" t="s">
        <v>4026</v>
      </c>
      <c r="D263" s="16" t="s">
        <v>3440</v>
      </c>
      <c r="E263" s="11" t="s">
        <v>3441</v>
      </c>
      <c r="F263" s="11" t="s">
        <v>3441</v>
      </c>
      <c r="G263" s="11" t="s">
        <v>3442</v>
      </c>
      <c r="H263" s="11" t="s">
        <v>3499</v>
      </c>
      <c r="I263" s="11" t="s">
        <v>3444</v>
      </c>
      <c r="J263" s="11" t="s">
        <v>4038</v>
      </c>
    </row>
    <row r="264" spans="1:10" ht="17.25" customHeight="1">
      <c r="A264" s="11" t="str">
        <f t="shared" si="4"/>
        <v>E263</v>
      </c>
      <c r="B264" s="11" t="s">
        <v>2517</v>
      </c>
      <c r="C264" s="11" t="s">
        <v>4029</v>
      </c>
      <c r="D264" s="16" t="s">
        <v>3440</v>
      </c>
      <c r="E264" s="11" t="s">
        <v>3448</v>
      </c>
      <c r="F264" s="11" t="s">
        <v>3449</v>
      </c>
      <c r="G264" s="11" t="s">
        <v>3442</v>
      </c>
      <c r="H264" s="11" t="s">
        <v>3499</v>
      </c>
      <c r="I264" s="11" t="s">
        <v>3444</v>
      </c>
      <c r="J264" s="11" t="s">
        <v>4038</v>
      </c>
    </row>
    <row r="265" spans="1:10" ht="17.25" customHeight="1">
      <c r="A265" s="11" t="str">
        <f t="shared" si="4"/>
        <v>E264</v>
      </c>
      <c r="B265" s="11" t="s">
        <v>2483</v>
      </c>
      <c r="C265" s="11" t="s">
        <v>4025</v>
      </c>
      <c r="D265" s="16" t="s">
        <v>3440</v>
      </c>
      <c r="E265" s="11" t="s">
        <v>3448</v>
      </c>
      <c r="F265" s="11" t="s">
        <v>3449</v>
      </c>
      <c r="G265" s="11" t="s">
        <v>3442</v>
      </c>
      <c r="H265" s="11" t="s">
        <v>3490</v>
      </c>
      <c r="I265" s="11" t="s">
        <v>3444</v>
      </c>
      <c r="J265" s="11" t="s">
        <v>4038</v>
      </c>
    </row>
    <row r="266" spans="1:10" ht="17.25" customHeight="1">
      <c r="A266" s="11" t="str">
        <f t="shared" si="4"/>
        <v>E265</v>
      </c>
      <c r="B266" s="11" t="s">
        <v>3562</v>
      </c>
      <c r="C266" s="11" t="s">
        <v>3524</v>
      </c>
      <c r="D266" s="16" t="s">
        <v>3440</v>
      </c>
      <c r="E266" s="11" t="s">
        <v>3441</v>
      </c>
      <c r="F266" s="11" t="s">
        <v>3441</v>
      </c>
      <c r="G266" s="11" t="s">
        <v>3455</v>
      </c>
      <c r="H266" s="11" t="s">
        <v>3499</v>
      </c>
      <c r="I266" s="11" t="s">
        <v>3444</v>
      </c>
      <c r="J266" s="11" t="s">
        <v>4038</v>
      </c>
    </row>
    <row r="267" spans="1:10" ht="17.25" customHeight="1">
      <c r="A267" s="11" t="str">
        <f t="shared" si="4"/>
        <v>E266</v>
      </c>
      <c r="B267" s="11" t="s">
        <v>1447</v>
      </c>
      <c r="C267" s="11" t="s">
        <v>3457</v>
      </c>
      <c r="D267" s="16" t="s">
        <v>3440</v>
      </c>
      <c r="E267" s="11" t="s">
        <v>3441</v>
      </c>
      <c r="F267" s="11" t="s">
        <v>3441</v>
      </c>
      <c r="G267" s="11" t="s">
        <v>3442</v>
      </c>
      <c r="H267" s="11" t="s">
        <v>3499</v>
      </c>
      <c r="I267" s="11" t="s">
        <v>3444</v>
      </c>
      <c r="J267" s="11" t="s">
        <v>4038</v>
      </c>
    </row>
    <row r="268" spans="1:10" ht="17.25" customHeight="1">
      <c r="A268" s="11" t="str">
        <f t="shared" si="4"/>
        <v>E267</v>
      </c>
      <c r="B268" s="11" t="s">
        <v>3563</v>
      </c>
      <c r="C268" s="11" t="s">
        <v>4030</v>
      </c>
      <c r="D268" s="16" t="s">
        <v>3440</v>
      </c>
      <c r="E268" s="11" t="s">
        <v>3441</v>
      </c>
      <c r="F268" s="11" t="s">
        <v>3441</v>
      </c>
      <c r="G268" s="11" t="s">
        <v>3455</v>
      </c>
      <c r="H268" s="11" t="s">
        <v>3499</v>
      </c>
      <c r="I268" s="11" t="s">
        <v>3444</v>
      </c>
      <c r="J268" s="11" t="s">
        <v>4038</v>
      </c>
    </row>
    <row r="269" spans="1:10" ht="17.25" customHeight="1">
      <c r="A269" s="11" t="str">
        <f t="shared" si="4"/>
        <v>E268</v>
      </c>
      <c r="B269" s="11" t="s">
        <v>3564</v>
      </c>
      <c r="C269" s="11" t="s">
        <v>4029</v>
      </c>
      <c r="D269" s="16" t="s">
        <v>3440</v>
      </c>
      <c r="E269" s="11" t="s">
        <v>3441</v>
      </c>
      <c r="F269" s="11" t="s">
        <v>3441</v>
      </c>
      <c r="G269" s="11" t="s">
        <v>3442</v>
      </c>
      <c r="H269" s="11" t="s">
        <v>3499</v>
      </c>
      <c r="I269" s="11" t="s">
        <v>3444</v>
      </c>
      <c r="J269" s="11" t="s">
        <v>4038</v>
      </c>
    </row>
    <row r="270" spans="1:10" ht="21.75" customHeight="1">
      <c r="A270" s="11" t="str">
        <f t="shared" si="4"/>
        <v>E269</v>
      </c>
      <c r="B270" s="11" t="s">
        <v>3565</v>
      </c>
      <c r="C270" s="11" t="s">
        <v>3457</v>
      </c>
      <c r="D270" s="16" t="s">
        <v>3440</v>
      </c>
      <c r="E270" s="11" t="s">
        <v>3448</v>
      </c>
      <c r="F270" s="11" t="s">
        <v>3449</v>
      </c>
      <c r="G270" s="11" t="s">
        <v>3442</v>
      </c>
      <c r="H270" s="11" t="s">
        <v>3499</v>
      </c>
      <c r="I270" s="11" t="s">
        <v>3444</v>
      </c>
      <c r="J270" s="11" t="s">
        <v>4038</v>
      </c>
    </row>
    <row r="271" spans="1:10" ht="26.25" customHeight="1">
      <c r="A271" s="11" t="str">
        <f t="shared" si="4"/>
        <v>E270</v>
      </c>
      <c r="B271" s="11" t="s">
        <v>3487</v>
      </c>
      <c r="C271" s="11" t="s">
        <v>4033</v>
      </c>
      <c r="D271" s="16" t="s">
        <v>3440</v>
      </c>
      <c r="E271" s="11" t="s">
        <v>3464</v>
      </c>
      <c r="F271" s="11" t="s">
        <v>3465</v>
      </c>
      <c r="G271" s="11" t="s">
        <v>3466</v>
      </c>
      <c r="H271" s="11" t="s">
        <v>3499</v>
      </c>
      <c r="I271" s="11" t="s">
        <v>3444</v>
      </c>
      <c r="J271" s="11" t="s">
        <v>4038</v>
      </c>
    </row>
    <row r="272" spans="1:10" ht="24.75" customHeight="1">
      <c r="A272" s="11" t="str">
        <f t="shared" si="4"/>
        <v>E271</v>
      </c>
      <c r="B272" s="11" t="s">
        <v>3566</v>
      </c>
      <c r="C272" s="11" t="s">
        <v>3524</v>
      </c>
      <c r="D272" s="16" t="s">
        <v>3440</v>
      </c>
      <c r="E272" s="11" t="s">
        <v>3448</v>
      </c>
      <c r="F272" s="11" t="s">
        <v>3449</v>
      </c>
      <c r="G272" s="11" t="s">
        <v>3442</v>
      </c>
      <c r="H272" s="11" t="s">
        <v>3499</v>
      </c>
      <c r="I272" s="11" t="s">
        <v>3444</v>
      </c>
      <c r="J272" s="11" t="s">
        <v>4038</v>
      </c>
    </row>
    <row r="273" spans="1:10" ht="24.75" customHeight="1">
      <c r="A273" s="11" t="str">
        <f t="shared" si="4"/>
        <v>E272</v>
      </c>
      <c r="B273" s="11" t="s">
        <v>487</v>
      </c>
      <c r="C273" s="11" t="s">
        <v>4024</v>
      </c>
      <c r="D273" s="16" t="s">
        <v>3440</v>
      </c>
      <c r="E273" s="11" t="s">
        <v>3451</v>
      </c>
      <c r="F273" s="11" t="s">
        <v>3452</v>
      </c>
      <c r="G273" s="11" t="s">
        <v>3446</v>
      </c>
      <c r="H273" s="11" t="s">
        <v>3499</v>
      </c>
      <c r="I273" s="11" t="s">
        <v>3444</v>
      </c>
      <c r="J273" s="11" t="s">
        <v>4038</v>
      </c>
    </row>
    <row r="274" spans="1:10" ht="17.25" customHeight="1">
      <c r="A274" s="11" t="str">
        <f t="shared" si="4"/>
        <v>E273</v>
      </c>
      <c r="B274" s="11" t="s">
        <v>3567</v>
      </c>
      <c r="C274" s="11" t="s">
        <v>3524</v>
      </c>
      <c r="D274" s="16" t="s">
        <v>3440</v>
      </c>
      <c r="E274" s="11" t="s">
        <v>3441</v>
      </c>
      <c r="F274" s="11" t="s">
        <v>3441</v>
      </c>
      <c r="G274" s="11" t="s">
        <v>3446</v>
      </c>
      <c r="H274" s="11" t="s">
        <v>3499</v>
      </c>
      <c r="I274" s="11" t="s">
        <v>3444</v>
      </c>
      <c r="J274" s="11" t="s">
        <v>4038</v>
      </c>
    </row>
    <row r="275" spans="1:10" ht="17.25" customHeight="1">
      <c r="A275" s="11" t="str">
        <f t="shared" si="4"/>
        <v>E274</v>
      </c>
      <c r="B275" s="11" t="s">
        <v>730</v>
      </c>
      <c r="C275" s="11" t="s">
        <v>4024</v>
      </c>
      <c r="D275" s="16" t="s">
        <v>3440</v>
      </c>
      <c r="E275" s="11" t="s">
        <v>3441</v>
      </c>
      <c r="F275" s="11" t="s">
        <v>3441</v>
      </c>
      <c r="G275" s="11" t="s">
        <v>3442</v>
      </c>
      <c r="H275" s="11" t="s">
        <v>3499</v>
      </c>
      <c r="I275" s="11" t="s">
        <v>3444</v>
      </c>
      <c r="J275" s="11" t="s">
        <v>4038</v>
      </c>
    </row>
    <row r="276" spans="1:10" ht="17.25" customHeight="1">
      <c r="A276" s="11" t="str">
        <f t="shared" si="4"/>
        <v>E275</v>
      </c>
      <c r="B276" s="11" t="s">
        <v>3003</v>
      </c>
      <c r="C276" s="11" t="s">
        <v>4024</v>
      </c>
      <c r="D276" s="16" t="s">
        <v>3440</v>
      </c>
      <c r="E276" s="11" t="s">
        <v>3441</v>
      </c>
      <c r="F276" s="11" t="s">
        <v>3441</v>
      </c>
      <c r="G276" s="11" t="s">
        <v>3442</v>
      </c>
      <c r="H276" s="11" t="s">
        <v>3499</v>
      </c>
      <c r="I276" s="11" t="s">
        <v>3444</v>
      </c>
      <c r="J276" s="11" t="s">
        <v>4038</v>
      </c>
    </row>
    <row r="277" spans="1:10" ht="25.5" customHeight="1">
      <c r="A277" s="11" t="str">
        <f t="shared" si="4"/>
        <v>E276</v>
      </c>
      <c r="B277" s="11" t="s">
        <v>3568</v>
      </c>
      <c r="C277" s="11" t="s">
        <v>4030</v>
      </c>
      <c r="D277" s="16" t="s">
        <v>3440</v>
      </c>
      <c r="E277" s="11" t="s">
        <v>3448</v>
      </c>
      <c r="F277" s="11" t="s">
        <v>3449</v>
      </c>
      <c r="G277" s="11" t="s">
        <v>3442</v>
      </c>
      <c r="H277" s="11" t="s">
        <v>3499</v>
      </c>
      <c r="I277" s="11" t="s">
        <v>3444</v>
      </c>
      <c r="J277" s="11" t="s">
        <v>4038</v>
      </c>
    </row>
    <row r="278" spans="1:10" ht="17.25" customHeight="1">
      <c r="A278" s="11" t="str">
        <f t="shared" si="4"/>
        <v>E277</v>
      </c>
      <c r="B278" s="11" t="s">
        <v>3099</v>
      </c>
      <c r="C278" s="11" t="s">
        <v>4033</v>
      </c>
      <c r="D278" t="s">
        <v>3440</v>
      </c>
      <c r="E278" s="11" t="s">
        <v>3468</v>
      </c>
      <c r="F278" s="11" t="s">
        <v>3550</v>
      </c>
      <c r="G278" s="11" t="s">
        <v>3466</v>
      </c>
      <c r="H278" s="11" t="s">
        <v>3499</v>
      </c>
      <c r="I278" s="11" t="s">
        <v>3444</v>
      </c>
      <c r="J278" s="11" t="s">
        <v>4038</v>
      </c>
    </row>
    <row r="279" spans="1:10" ht="17.25" customHeight="1">
      <c r="A279" s="11" t="str">
        <f t="shared" si="4"/>
        <v>E278</v>
      </c>
      <c r="B279" s="11" t="s">
        <v>2356</v>
      </c>
      <c r="C279" s="11" t="s">
        <v>4030</v>
      </c>
      <c r="D279" s="16" t="s">
        <v>3440</v>
      </c>
      <c r="E279" s="11" t="s">
        <v>3448</v>
      </c>
      <c r="F279" s="11" t="s">
        <v>3449</v>
      </c>
      <c r="G279" s="11" t="s">
        <v>3442</v>
      </c>
      <c r="H279" s="11" t="s">
        <v>3499</v>
      </c>
      <c r="I279" s="11" t="s">
        <v>3444</v>
      </c>
      <c r="J279" s="11" t="s">
        <v>4038</v>
      </c>
    </row>
    <row r="280" spans="1:10" ht="17.25" customHeight="1">
      <c r="A280" s="11" t="str">
        <f t="shared" si="4"/>
        <v>E279</v>
      </c>
      <c r="B280" s="11" t="s">
        <v>2356</v>
      </c>
      <c r="C280" s="11" t="s">
        <v>3457</v>
      </c>
      <c r="D280" t="s">
        <v>3440</v>
      </c>
      <c r="H280" s="11" t="s">
        <v>3499</v>
      </c>
      <c r="I280" s="11" t="s">
        <v>3444</v>
      </c>
      <c r="J280" s="11" t="s">
        <v>4038</v>
      </c>
    </row>
    <row r="281" spans="1:10" ht="17.25" customHeight="1">
      <c r="A281" s="11" t="str">
        <f t="shared" si="4"/>
        <v>E280</v>
      </c>
      <c r="B281" s="11" t="s">
        <v>3033</v>
      </c>
      <c r="C281" s="11" t="s">
        <v>4023</v>
      </c>
      <c r="D281" t="s">
        <v>3440</v>
      </c>
      <c r="E281" s="11" t="s">
        <v>3441</v>
      </c>
      <c r="F281" s="11" t="s">
        <v>3441</v>
      </c>
      <c r="H281" s="11" t="s">
        <v>3499</v>
      </c>
      <c r="I281" s="11" t="s">
        <v>3444</v>
      </c>
      <c r="J281" s="11" t="s">
        <v>4038</v>
      </c>
    </row>
    <row r="282" spans="1:10" ht="26.25" customHeight="1">
      <c r="A282" s="11" t="str">
        <f t="shared" si="4"/>
        <v>E281</v>
      </c>
      <c r="B282" s="11" t="s">
        <v>49</v>
      </c>
      <c r="C282" s="11" t="s">
        <v>3457</v>
      </c>
      <c r="D282" s="16" t="s">
        <v>3440</v>
      </c>
      <c r="E282" s="11" t="s">
        <v>3448</v>
      </c>
      <c r="F282" s="11" t="s">
        <v>3449</v>
      </c>
      <c r="G282" s="11" t="s">
        <v>3442</v>
      </c>
      <c r="H282" s="11" t="s">
        <v>3561</v>
      </c>
      <c r="I282" s="11" t="s">
        <v>3444</v>
      </c>
      <c r="J282" s="11" t="s">
        <v>4038</v>
      </c>
    </row>
    <row r="283" spans="1:10" ht="17.25" customHeight="1">
      <c r="A283" s="11" t="str">
        <f t="shared" si="4"/>
        <v>E282</v>
      </c>
      <c r="B283" s="11" t="s">
        <v>3569</v>
      </c>
      <c r="C283" s="11" t="s">
        <v>3457</v>
      </c>
      <c r="D283" s="16" t="s">
        <v>3440</v>
      </c>
      <c r="E283" s="11" t="s">
        <v>3464</v>
      </c>
      <c r="F283" s="11" t="s">
        <v>3465</v>
      </c>
      <c r="G283" s="11" t="s">
        <v>3442</v>
      </c>
      <c r="H283" s="11" t="s">
        <v>3490</v>
      </c>
      <c r="I283" s="11" t="s">
        <v>3444</v>
      </c>
      <c r="J283" s="11" t="s">
        <v>4038</v>
      </c>
    </row>
    <row r="284" spans="1:10" ht="17.25" customHeight="1">
      <c r="A284" s="11" t="str">
        <f t="shared" si="4"/>
        <v>E283</v>
      </c>
      <c r="B284" s="11" t="s">
        <v>3553</v>
      </c>
      <c r="C284" s="11" t="s">
        <v>4026</v>
      </c>
      <c r="D284" s="16" t="s">
        <v>3440</v>
      </c>
      <c r="E284" s="11" t="s">
        <v>3441</v>
      </c>
      <c r="F284" s="11" t="s">
        <v>3441</v>
      </c>
      <c r="G284" s="11" t="s">
        <v>3455</v>
      </c>
      <c r="H284" s="11" t="s">
        <v>3499</v>
      </c>
      <c r="I284" s="11" t="s">
        <v>3444</v>
      </c>
      <c r="J284" s="11" t="s">
        <v>4038</v>
      </c>
    </row>
    <row r="285" spans="1:10" ht="17.25" customHeight="1">
      <c r="A285" s="11" t="str">
        <f t="shared" si="4"/>
        <v>E284</v>
      </c>
      <c r="B285" s="11" t="s">
        <v>1825</v>
      </c>
      <c r="C285" s="11" t="s">
        <v>4034</v>
      </c>
      <c r="D285" s="16" t="s">
        <v>3440</v>
      </c>
      <c r="E285" s="11" t="s">
        <v>3448</v>
      </c>
      <c r="F285" s="11" t="s">
        <v>3449</v>
      </c>
      <c r="G285" s="11" t="s">
        <v>3455</v>
      </c>
      <c r="H285" s="11" t="s">
        <v>3499</v>
      </c>
      <c r="I285" s="11" t="s">
        <v>3444</v>
      </c>
      <c r="J285" s="11" t="s">
        <v>4038</v>
      </c>
    </row>
    <row r="286" spans="1:10" ht="17.25" customHeight="1">
      <c r="A286" s="11" t="str">
        <f t="shared" si="4"/>
        <v>E285</v>
      </c>
      <c r="B286" s="11" t="s">
        <v>442</v>
      </c>
      <c r="C286" s="11" t="s">
        <v>3457</v>
      </c>
      <c r="D286" t="s">
        <v>3440</v>
      </c>
      <c r="H286" s="11" t="s">
        <v>3490</v>
      </c>
      <c r="I286" s="11" t="s">
        <v>3444</v>
      </c>
      <c r="J286" s="11" t="s">
        <v>4036</v>
      </c>
    </row>
    <row r="287" spans="1:10" ht="17.25" customHeight="1">
      <c r="A287" s="11" t="str">
        <f t="shared" si="4"/>
        <v>E286</v>
      </c>
      <c r="B287" s="11" t="s">
        <v>49</v>
      </c>
      <c r="C287" s="11" t="s">
        <v>4024</v>
      </c>
      <c r="D287" s="16" t="s">
        <v>3440</v>
      </c>
      <c r="E287" s="11" t="s">
        <v>3441</v>
      </c>
      <c r="F287" s="11" t="s">
        <v>3441</v>
      </c>
      <c r="G287" s="11" t="s">
        <v>3446</v>
      </c>
      <c r="H287" s="11" t="s">
        <v>3499</v>
      </c>
      <c r="I287" s="11" t="s">
        <v>3444</v>
      </c>
      <c r="J287" s="11" t="s">
        <v>4038</v>
      </c>
    </row>
    <row r="288" spans="1:10" ht="17.25" customHeight="1">
      <c r="A288" s="11" t="str">
        <f t="shared" si="4"/>
        <v>E287</v>
      </c>
      <c r="B288" s="11" t="s">
        <v>2915</v>
      </c>
      <c r="C288" s="11" t="s">
        <v>3457</v>
      </c>
      <c r="D288" s="16" t="s">
        <v>3440</v>
      </c>
      <c r="E288" s="11" t="s">
        <v>3441</v>
      </c>
      <c r="G288" s="11" t="s">
        <v>3442</v>
      </c>
      <c r="H288" s="11" t="s">
        <v>3443</v>
      </c>
      <c r="I288" s="11" t="s">
        <v>3444</v>
      </c>
      <c r="J288" s="11" t="s">
        <v>4038</v>
      </c>
    </row>
    <row r="289" spans="1:10" ht="17.25" customHeight="1">
      <c r="A289" s="11" t="str">
        <f t="shared" si="4"/>
        <v>E288</v>
      </c>
      <c r="B289" s="11" t="s">
        <v>2522</v>
      </c>
      <c r="C289" s="11" t="s">
        <v>4026</v>
      </c>
      <c r="D289" s="16" t="s">
        <v>3440</v>
      </c>
      <c r="E289" s="11" t="s">
        <v>3468</v>
      </c>
      <c r="G289" s="11" t="s">
        <v>3466</v>
      </c>
      <c r="H289" s="11" t="s">
        <v>3499</v>
      </c>
      <c r="I289" s="11" t="s">
        <v>3444</v>
      </c>
      <c r="J289" s="11" t="s">
        <v>4038</v>
      </c>
    </row>
    <row r="290" spans="1:10" ht="27" customHeight="1">
      <c r="A290" s="11" t="str">
        <f t="shared" si="4"/>
        <v>E289</v>
      </c>
      <c r="B290" s="11" t="s">
        <v>3570</v>
      </c>
      <c r="C290" s="11" t="s">
        <v>3524</v>
      </c>
      <c r="D290" s="16" t="s">
        <v>3440</v>
      </c>
      <c r="E290" s="11" t="s">
        <v>3468</v>
      </c>
      <c r="G290" s="11" t="s">
        <v>3466</v>
      </c>
      <c r="H290" s="11" t="s">
        <v>3499</v>
      </c>
      <c r="I290" s="11" t="s">
        <v>3444</v>
      </c>
      <c r="J290" s="11" t="s">
        <v>4038</v>
      </c>
    </row>
    <row r="291" spans="1:10" ht="17.25" customHeight="1">
      <c r="A291" s="11" t="str">
        <f t="shared" si="4"/>
        <v>E290</v>
      </c>
      <c r="B291" s="11" t="s">
        <v>2356</v>
      </c>
      <c r="C291" s="11" t="s">
        <v>4034</v>
      </c>
      <c r="D291" t="s">
        <v>3440</v>
      </c>
      <c r="H291" s="11" t="s">
        <v>3499</v>
      </c>
      <c r="I291" s="11" t="s">
        <v>3444</v>
      </c>
      <c r="J291" s="11" t="s">
        <v>4038</v>
      </c>
    </row>
    <row r="292" spans="1:10" ht="17.25" customHeight="1">
      <c r="A292" s="11" t="str">
        <f t="shared" si="4"/>
        <v>E291</v>
      </c>
      <c r="B292" s="11" t="s">
        <v>222</v>
      </c>
      <c r="C292" s="11" t="s">
        <v>4024</v>
      </c>
      <c r="D292" s="16" t="s">
        <v>3440</v>
      </c>
      <c r="E292" s="11" t="s">
        <v>3458</v>
      </c>
      <c r="F292" s="11" t="s">
        <v>3459</v>
      </c>
      <c r="G292" s="11" t="s">
        <v>3455</v>
      </c>
      <c r="H292" s="11" t="s">
        <v>3499</v>
      </c>
      <c r="I292" s="11" t="s">
        <v>3444</v>
      </c>
      <c r="J292" s="11" t="s">
        <v>4038</v>
      </c>
    </row>
    <row r="293" spans="1:10" ht="17.25" customHeight="1">
      <c r="A293" s="11" t="str">
        <f t="shared" si="4"/>
        <v>E292</v>
      </c>
      <c r="B293" s="11" t="s">
        <v>49</v>
      </c>
      <c r="C293" s="11" t="s">
        <v>3457</v>
      </c>
      <c r="D293" t="s">
        <v>3440</v>
      </c>
      <c r="E293" s="11" t="s">
        <v>3448</v>
      </c>
      <c r="F293" s="11" t="s">
        <v>3449</v>
      </c>
      <c r="G293" s="11" t="s">
        <v>3442</v>
      </c>
      <c r="H293" s="11" t="s">
        <v>3499</v>
      </c>
      <c r="I293" s="11" t="s">
        <v>3444</v>
      </c>
      <c r="J293" s="11" t="s">
        <v>4038</v>
      </c>
    </row>
    <row r="294" spans="1:10" ht="17.25" customHeight="1">
      <c r="A294" s="11" t="str">
        <f t="shared" si="4"/>
        <v>E293</v>
      </c>
      <c r="B294" s="11" t="s">
        <v>35</v>
      </c>
      <c r="C294" s="11" t="s">
        <v>4033</v>
      </c>
      <c r="D294" t="s">
        <v>3440</v>
      </c>
      <c r="H294" s="11" t="s">
        <v>3499</v>
      </c>
      <c r="I294" s="11" t="s">
        <v>3444</v>
      </c>
      <c r="J294" s="11" t="s">
        <v>4038</v>
      </c>
    </row>
    <row r="295" spans="1:10" ht="17.25" customHeight="1">
      <c r="A295" s="11" t="str">
        <f t="shared" si="4"/>
        <v>E294</v>
      </c>
      <c r="B295" s="11" t="s">
        <v>1738</v>
      </c>
      <c r="C295" s="11" t="s">
        <v>4024</v>
      </c>
      <c r="D295" t="s">
        <v>3440</v>
      </c>
      <c r="H295" s="11" t="s">
        <v>3499</v>
      </c>
      <c r="I295" s="11" t="s">
        <v>3444</v>
      </c>
      <c r="J295" s="11" t="s">
        <v>4038</v>
      </c>
    </row>
    <row r="296" spans="1:10" ht="17.25" customHeight="1">
      <c r="A296" s="11" t="str">
        <f t="shared" si="4"/>
        <v>E295</v>
      </c>
      <c r="B296" s="11" t="s">
        <v>3146</v>
      </c>
      <c r="C296" s="11" t="s">
        <v>3457</v>
      </c>
      <c r="D296" s="16" t="s">
        <v>3440</v>
      </c>
      <c r="H296" s="11" t="s">
        <v>3499</v>
      </c>
      <c r="I296" s="11" t="s">
        <v>3444</v>
      </c>
      <c r="J296" s="11" t="s">
        <v>4038</v>
      </c>
    </row>
    <row r="297" spans="1:10" ht="17.25" customHeight="1">
      <c r="A297" s="11" t="str">
        <f t="shared" si="4"/>
        <v>E296</v>
      </c>
      <c r="B297" s="11" t="s">
        <v>465</v>
      </c>
      <c r="C297" s="11" t="s">
        <v>4034</v>
      </c>
      <c r="D297" s="16" t="s">
        <v>3440</v>
      </c>
      <c r="G297" s="11" t="s">
        <v>3466</v>
      </c>
      <c r="H297" s="11" t="s">
        <v>3476</v>
      </c>
      <c r="I297" s="11" t="s">
        <v>3444</v>
      </c>
      <c r="J297" s="11" t="s">
        <v>4038</v>
      </c>
    </row>
    <row r="298" spans="1:10" ht="17.25" customHeight="1">
      <c r="A298" s="11" t="str">
        <f t="shared" si="4"/>
        <v>E297</v>
      </c>
      <c r="B298" s="11" t="s">
        <v>3571</v>
      </c>
      <c r="C298" s="11" t="s">
        <v>3457</v>
      </c>
      <c r="D298" t="s">
        <v>3440</v>
      </c>
      <c r="H298" s="11" t="s">
        <v>3476</v>
      </c>
      <c r="I298" s="11" t="s">
        <v>3444</v>
      </c>
      <c r="J298" s="11" t="s">
        <v>4038</v>
      </c>
    </row>
    <row r="299" spans="1:10" ht="17.25" customHeight="1">
      <c r="A299" s="11" t="str">
        <f t="shared" si="4"/>
        <v>E298</v>
      </c>
      <c r="B299" s="11" t="s">
        <v>2424</v>
      </c>
      <c r="C299" s="11" t="s">
        <v>3457</v>
      </c>
      <c r="D299" s="16" t="s">
        <v>3440</v>
      </c>
      <c r="H299" s="11" t="s">
        <v>3476</v>
      </c>
      <c r="I299" s="11" t="s">
        <v>3444</v>
      </c>
      <c r="J299" s="11" t="s">
        <v>4038</v>
      </c>
    </row>
    <row r="300" spans="1:10" ht="17.25" customHeight="1">
      <c r="A300" s="11" t="str">
        <f t="shared" si="4"/>
        <v>E299</v>
      </c>
      <c r="B300" s="11" t="s">
        <v>2330</v>
      </c>
      <c r="C300" s="11" t="s">
        <v>3457</v>
      </c>
      <c r="D300" s="16" t="s">
        <v>3440</v>
      </c>
      <c r="G300" s="11" t="s">
        <v>3442</v>
      </c>
      <c r="H300" s="11" t="s">
        <v>3498</v>
      </c>
      <c r="I300" s="11" t="s">
        <v>3444</v>
      </c>
      <c r="J300" s="11" t="s">
        <v>4038</v>
      </c>
    </row>
    <row r="301" spans="1:10" ht="17.25" customHeight="1">
      <c r="A301" s="11" t="str">
        <f t="shared" si="4"/>
        <v>E300</v>
      </c>
      <c r="B301" s="11" t="s">
        <v>689</v>
      </c>
      <c r="C301" s="11" t="s">
        <v>3457</v>
      </c>
      <c r="D301" s="16" t="s">
        <v>3440</v>
      </c>
      <c r="E301" s="11" t="s">
        <v>3462</v>
      </c>
      <c r="F301" s="11" t="s">
        <v>3463</v>
      </c>
      <c r="G301" s="11" t="s">
        <v>3475</v>
      </c>
      <c r="H301" s="11" t="s">
        <v>3490</v>
      </c>
      <c r="I301" s="11" t="s">
        <v>3444</v>
      </c>
      <c r="J301" s="11" t="s">
        <v>4038</v>
      </c>
    </row>
    <row r="302" spans="1:10" ht="17.25" customHeight="1">
      <c r="A302" s="11" t="str">
        <f t="shared" si="4"/>
        <v>E301</v>
      </c>
      <c r="B302" s="11" t="s">
        <v>891</v>
      </c>
      <c r="C302" s="11" t="s">
        <v>4034</v>
      </c>
      <c r="D302" t="s">
        <v>3440</v>
      </c>
      <c r="I302" s="11" t="s">
        <v>3444</v>
      </c>
      <c r="J302" s="11" t="s">
        <v>4038</v>
      </c>
    </row>
    <row r="303" spans="1:10" ht="17.25" customHeight="1">
      <c r="A303" s="11" t="str">
        <f t="shared" si="4"/>
        <v>E302</v>
      </c>
      <c r="B303" s="11" t="s">
        <v>3572</v>
      </c>
      <c r="D303" t="s">
        <v>3440</v>
      </c>
      <c r="I303" s="11" t="s">
        <v>3444</v>
      </c>
      <c r="J303" s="11" t="s">
        <v>4038</v>
      </c>
    </row>
    <row r="304" spans="1:10" ht="17.25" customHeight="1">
      <c r="A304" s="11" t="str">
        <f t="shared" si="4"/>
        <v>E303</v>
      </c>
      <c r="B304" s="11" t="s">
        <v>3535</v>
      </c>
      <c r="C304" s="11" t="s">
        <v>3457</v>
      </c>
      <c r="D304" s="16" t="s">
        <v>3440</v>
      </c>
      <c r="G304" s="11" t="s">
        <v>3442</v>
      </c>
      <c r="H304" s="11" t="s">
        <v>3506</v>
      </c>
      <c r="I304" s="11" t="s">
        <v>3444</v>
      </c>
      <c r="J304" s="11" t="s">
        <v>4038</v>
      </c>
    </row>
    <row r="305" spans="1:11" ht="17.25" customHeight="1">
      <c r="A305" s="11" t="str">
        <f t="shared" si="4"/>
        <v>E304</v>
      </c>
      <c r="B305" s="11" t="s">
        <v>2424</v>
      </c>
      <c r="D305" t="s">
        <v>3440</v>
      </c>
      <c r="G305" s="11" t="s">
        <v>3455</v>
      </c>
      <c r="H305" s="11" t="s">
        <v>3500</v>
      </c>
      <c r="I305" s="11" t="s">
        <v>3444</v>
      </c>
      <c r="J305" s="11" t="s">
        <v>4038</v>
      </c>
    </row>
    <row r="306" spans="1:11" ht="17.25" customHeight="1">
      <c r="A306" s="11" t="str">
        <f t="shared" si="4"/>
        <v>E305</v>
      </c>
      <c r="B306" s="11" t="s">
        <v>3573</v>
      </c>
      <c r="C306" s="11" t="s">
        <v>3457</v>
      </c>
      <c r="D306" s="16" t="s">
        <v>3440</v>
      </c>
      <c r="H306" s="11" t="s">
        <v>3490</v>
      </c>
      <c r="I306" s="11" t="s">
        <v>3444</v>
      </c>
      <c r="J306" s="11" t="s">
        <v>4038</v>
      </c>
    </row>
    <row r="307" spans="1:11" ht="17.25" customHeight="1">
      <c r="A307" s="11" t="str">
        <f t="shared" si="4"/>
        <v>E306</v>
      </c>
      <c r="B307" s="11" t="s">
        <v>3574</v>
      </c>
      <c r="D307" s="16" t="s">
        <v>3440</v>
      </c>
      <c r="G307" s="11" t="s">
        <v>3466</v>
      </c>
      <c r="H307" s="11" t="s">
        <v>3490</v>
      </c>
      <c r="I307" s="11" t="s">
        <v>3444</v>
      </c>
      <c r="J307" s="11" t="s">
        <v>4038</v>
      </c>
    </row>
    <row r="308" spans="1:11" ht="17.25" customHeight="1">
      <c r="A308" s="11" t="str">
        <f t="shared" si="4"/>
        <v>E307</v>
      </c>
      <c r="B308" s="11" t="s">
        <v>2830</v>
      </c>
      <c r="C308" s="11" t="s">
        <v>4034</v>
      </c>
      <c r="D308" s="16" t="s">
        <v>3440</v>
      </c>
      <c r="E308" s="11" t="s">
        <v>3464</v>
      </c>
      <c r="G308" s="11" t="s">
        <v>3466</v>
      </c>
      <c r="H308" s="11" t="s">
        <v>3490</v>
      </c>
      <c r="I308" s="11" t="s">
        <v>3444</v>
      </c>
      <c r="J308" s="11" t="s">
        <v>4038</v>
      </c>
    </row>
    <row r="309" spans="1:11" ht="17.25" customHeight="1">
      <c r="A309" s="11" t="str">
        <f t="shared" si="4"/>
        <v>E308</v>
      </c>
      <c r="B309" s="11" t="s">
        <v>1778</v>
      </c>
      <c r="C309" s="11" t="s">
        <v>4028</v>
      </c>
      <c r="D309" s="16" t="s">
        <v>3440</v>
      </c>
      <c r="G309" s="11" t="s">
        <v>3442</v>
      </c>
      <c r="H309" s="11" t="s">
        <v>3476</v>
      </c>
      <c r="I309" s="11" t="s">
        <v>3444</v>
      </c>
      <c r="J309" s="11" t="s">
        <v>4038</v>
      </c>
    </row>
    <row r="310" spans="1:11" ht="17.25" customHeight="1">
      <c r="A310" s="11" t="str">
        <f t="shared" si="4"/>
        <v>E309</v>
      </c>
      <c r="B310" s="11" t="s">
        <v>3557</v>
      </c>
      <c r="C310" s="11" t="s">
        <v>4025</v>
      </c>
      <c r="D310" t="s">
        <v>3440</v>
      </c>
      <c r="E310" s="11" t="s">
        <v>3441</v>
      </c>
      <c r="G310" s="11" t="s">
        <v>3455</v>
      </c>
      <c r="H310" s="11" t="s">
        <v>3476</v>
      </c>
      <c r="I310" s="11" t="s">
        <v>3477</v>
      </c>
      <c r="J310" s="11" t="s">
        <v>4038</v>
      </c>
      <c r="K310" s="15" t="s">
        <v>3472</v>
      </c>
    </row>
    <row r="311" spans="1:11" ht="17.25" customHeight="1">
      <c r="A311" s="11" t="str">
        <f t="shared" si="4"/>
        <v>E310</v>
      </c>
      <c r="B311" s="11" t="s">
        <v>3575</v>
      </c>
      <c r="C311" s="11" t="s">
        <v>4033</v>
      </c>
      <c r="D311" t="s">
        <v>3440</v>
      </c>
      <c r="E311" s="11" t="s">
        <v>3462</v>
      </c>
      <c r="G311" s="11" t="s">
        <v>3446</v>
      </c>
      <c r="H311" s="11" t="s">
        <v>3476</v>
      </c>
      <c r="I311" s="11" t="s">
        <v>3477</v>
      </c>
      <c r="J311" s="11" t="s">
        <v>4038</v>
      </c>
      <c r="K311" s="15" t="s">
        <v>3472</v>
      </c>
    </row>
    <row r="312" spans="1:11" ht="17.25" customHeight="1">
      <c r="A312" s="11" t="str">
        <f t="shared" si="4"/>
        <v>E311</v>
      </c>
      <c r="B312" s="11" t="s">
        <v>3576</v>
      </c>
      <c r="C312" s="11" t="s">
        <v>4026</v>
      </c>
      <c r="D312" t="s">
        <v>3440</v>
      </c>
      <c r="E312" s="11" t="s">
        <v>3441</v>
      </c>
      <c r="G312" s="11" t="s">
        <v>3493</v>
      </c>
      <c r="H312" s="11" t="s">
        <v>3490</v>
      </c>
      <c r="I312" s="11" t="s">
        <v>3477</v>
      </c>
      <c r="J312" s="11" t="s">
        <v>4037</v>
      </c>
      <c r="K312" s="15" t="s">
        <v>3472</v>
      </c>
    </row>
    <row r="313" spans="1:11" ht="17.25" customHeight="1">
      <c r="A313" s="11" t="str">
        <f t="shared" si="4"/>
        <v>E312</v>
      </c>
      <c r="B313" s="11" t="s">
        <v>3577</v>
      </c>
      <c r="C313" s="11" t="s">
        <v>4034</v>
      </c>
      <c r="D313" s="16" t="s">
        <v>3440</v>
      </c>
      <c r="E313" s="11" t="s">
        <v>3468</v>
      </c>
      <c r="G313" s="11" t="s">
        <v>3466</v>
      </c>
      <c r="I313" s="11" t="s">
        <v>3444</v>
      </c>
      <c r="J313" s="11" t="s">
        <v>4038</v>
      </c>
    </row>
    <row r="314" spans="1:11" ht="21.75" customHeight="1">
      <c r="A314" s="11" t="str">
        <f t="shared" si="4"/>
        <v>E313</v>
      </c>
      <c r="B314" s="11" t="s">
        <v>3575</v>
      </c>
      <c r="C314" s="11" t="s">
        <v>4028</v>
      </c>
      <c r="D314" s="16" t="s">
        <v>3440</v>
      </c>
      <c r="H314" s="11" t="s">
        <v>3498</v>
      </c>
      <c r="I314" s="11" t="s">
        <v>3444</v>
      </c>
      <c r="J314" s="11" t="s">
        <v>4038</v>
      </c>
    </row>
    <row r="315" spans="1:11" ht="17.25" customHeight="1">
      <c r="A315" s="11" t="str">
        <f t="shared" si="4"/>
        <v>E314</v>
      </c>
      <c r="B315" s="11" t="s">
        <v>1825</v>
      </c>
      <c r="D315" t="s">
        <v>3440</v>
      </c>
      <c r="I315" s="11" t="s">
        <v>3444</v>
      </c>
      <c r="J315" s="11" t="s">
        <v>4038</v>
      </c>
    </row>
    <row r="316" spans="1:11" ht="38.25" customHeight="1">
      <c r="A316" s="11" t="str">
        <f t="shared" si="4"/>
        <v>E315</v>
      </c>
      <c r="B316" s="11" t="s">
        <v>151</v>
      </c>
      <c r="C316" s="11" t="s">
        <v>4029</v>
      </c>
      <c r="D316" s="16" t="s">
        <v>3440</v>
      </c>
      <c r="H316" s="11" t="s">
        <v>3578</v>
      </c>
      <c r="I316" s="11" t="s">
        <v>3444</v>
      </c>
      <c r="J316" s="11" t="s">
        <v>4038</v>
      </c>
    </row>
    <row r="317" spans="1:11" ht="17.25" customHeight="1">
      <c r="A317" s="11" t="str">
        <f t="shared" si="4"/>
        <v>E316</v>
      </c>
      <c r="B317" s="11" t="s">
        <v>671</v>
      </c>
      <c r="C317" s="11" t="s">
        <v>3524</v>
      </c>
      <c r="D317" s="16" t="s">
        <v>3440</v>
      </c>
      <c r="G317" s="11" t="s">
        <v>3442</v>
      </c>
      <c r="H317" s="11" t="s">
        <v>3490</v>
      </c>
      <c r="I317" s="11" t="s">
        <v>3444</v>
      </c>
      <c r="J317" s="11" t="s">
        <v>4038</v>
      </c>
    </row>
    <row r="318" spans="1:11" ht="17.25" customHeight="1">
      <c r="A318" s="11" t="str">
        <f t="shared" si="4"/>
        <v>E317</v>
      </c>
      <c r="B318" s="11" t="s">
        <v>3579</v>
      </c>
      <c r="D318" t="s">
        <v>3440</v>
      </c>
    </row>
    <row r="319" spans="1:11" ht="17.25" customHeight="1">
      <c r="A319" s="11" t="str">
        <f t="shared" si="4"/>
        <v>E318</v>
      </c>
      <c r="B319" s="11" t="s">
        <v>3580</v>
      </c>
      <c r="D319" s="16" t="s">
        <v>3440</v>
      </c>
    </row>
    <row r="320" spans="1:11" ht="17.25" customHeight="1">
      <c r="A320" s="11" t="str">
        <f t="shared" si="4"/>
        <v>E319</v>
      </c>
      <c r="B320" s="11" t="s">
        <v>1966</v>
      </c>
      <c r="D320" t="s">
        <v>3440</v>
      </c>
    </row>
    <row r="321" spans="1:11" ht="17.25" customHeight="1">
      <c r="A321" s="11" t="str">
        <f t="shared" si="4"/>
        <v>E320</v>
      </c>
      <c r="B321" s="11" t="s">
        <v>3581</v>
      </c>
      <c r="D321" t="s">
        <v>3440</v>
      </c>
    </row>
    <row r="322" spans="1:11" ht="17.25" customHeight="1">
      <c r="A322" s="11" t="str">
        <f t="shared" ref="A322:A385" si="5">_xlfn.CONCAT("E",TEXT(ROW()-1,"000"))</f>
        <v>E321</v>
      </c>
      <c r="B322" s="11" t="s">
        <v>3063</v>
      </c>
      <c r="D322" t="s">
        <v>3440</v>
      </c>
    </row>
    <row r="323" spans="1:11" ht="17.25" customHeight="1">
      <c r="A323" s="11" t="str">
        <f t="shared" si="5"/>
        <v>E322</v>
      </c>
      <c r="B323" s="11" t="s">
        <v>3582</v>
      </c>
      <c r="D323" t="s">
        <v>3440</v>
      </c>
    </row>
    <row r="324" spans="1:11" ht="17.25" customHeight="1">
      <c r="A324" s="11" t="str">
        <f t="shared" si="5"/>
        <v>E323</v>
      </c>
      <c r="B324" s="11" t="s">
        <v>3583</v>
      </c>
      <c r="C324" s="11" t="s">
        <v>4033</v>
      </c>
      <c r="D324" t="s">
        <v>3440</v>
      </c>
      <c r="E324" s="11" t="s">
        <v>3448</v>
      </c>
      <c r="G324" s="11" t="s">
        <v>3442</v>
      </c>
      <c r="H324" s="11" t="s">
        <v>3490</v>
      </c>
      <c r="I324" s="11" t="s">
        <v>3477</v>
      </c>
      <c r="J324" s="11" t="s">
        <v>4038</v>
      </c>
      <c r="K324" s="15" t="s">
        <v>3472</v>
      </c>
    </row>
    <row r="325" spans="1:11" ht="17.25" customHeight="1">
      <c r="A325" s="11" t="str">
        <f t="shared" si="5"/>
        <v>E324</v>
      </c>
      <c r="B325" s="11" t="s">
        <v>408</v>
      </c>
      <c r="C325" s="11" t="s">
        <v>4034</v>
      </c>
      <c r="D325" t="s">
        <v>3440</v>
      </c>
      <c r="E325" s="11" t="s">
        <v>3441</v>
      </c>
      <c r="G325" s="11" t="s">
        <v>3441</v>
      </c>
      <c r="H325" s="11" t="s">
        <v>3490</v>
      </c>
      <c r="I325" s="11" t="s">
        <v>3477</v>
      </c>
      <c r="J325" s="11" t="s">
        <v>4038</v>
      </c>
      <c r="K325" s="15" t="s">
        <v>3472</v>
      </c>
    </row>
    <row r="326" spans="1:11" ht="17.25" customHeight="1">
      <c r="A326" s="11" t="str">
        <f t="shared" si="5"/>
        <v>E325</v>
      </c>
      <c r="B326" s="11" t="s">
        <v>3584</v>
      </c>
      <c r="C326" s="11" t="s">
        <v>4026</v>
      </c>
      <c r="D326" t="s">
        <v>3440</v>
      </c>
      <c r="E326" s="11" t="s">
        <v>3441</v>
      </c>
      <c r="G326" s="11" t="s">
        <v>3455</v>
      </c>
      <c r="H326" s="11" t="s">
        <v>3490</v>
      </c>
      <c r="I326" s="11" t="s">
        <v>3477</v>
      </c>
      <c r="J326" s="11" t="s">
        <v>4038</v>
      </c>
    </row>
    <row r="327" spans="1:11" ht="17.25" customHeight="1">
      <c r="A327" s="11" t="str">
        <f t="shared" si="5"/>
        <v>E326</v>
      </c>
      <c r="B327" s="11" t="s">
        <v>2483</v>
      </c>
      <c r="C327" s="11" t="s">
        <v>4026</v>
      </c>
      <c r="D327" t="s">
        <v>3440</v>
      </c>
      <c r="E327" s="11" t="s">
        <v>3448</v>
      </c>
      <c r="G327" s="11" t="s">
        <v>3442</v>
      </c>
      <c r="H327" s="11" t="s">
        <v>3476</v>
      </c>
      <c r="I327" s="11" t="s">
        <v>3477</v>
      </c>
      <c r="J327" s="11" t="s">
        <v>4038</v>
      </c>
    </row>
    <row r="328" spans="1:11" ht="17.25" customHeight="1">
      <c r="A328" s="11" t="str">
        <f t="shared" si="5"/>
        <v>E327</v>
      </c>
      <c r="B328" s="11" t="s">
        <v>135</v>
      </c>
      <c r="C328" s="11" t="s">
        <v>4034</v>
      </c>
      <c r="D328" t="s">
        <v>3440</v>
      </c>
      <c r="E328" s="11" t="s">
        <v>3451</v>
      </c>
      <c r="G328" s="11" t="s">
        <v>3442</v>
      </c>
      <c r="I328" s="11" t="s">
        <v>3477</v>
      </c>
      <c r="J328" s="11" t="s">
        <v>4038</v>
      </c>
    </row>
    <row r="329" spans="1:11" ht="17.25" customHeight="1">
      <c r="A329" s="11" t="str">
        <f t="shared" si="5"/>
        <v>E328</v>
      </c>
      <c r="B329" s="11" t="s">
        <v>3301</v>
      </c>
      <c r="C329" s="11" t="s">
        <v>4026</v>
      </c>
      <c r="D329" t="s">
        <v>3440</v>
      </c>
      <c r="E329" s="11" t="s">
        <v>3448</v>
      </c>
      <c r="G329" s="11" t="s">
        <v>3446</v>
      </c>
      <c r="H329" s="11" t="s">
        <v>3499</v>
      </c>
      <c r="I329" s="11" t="s">
        <v>3477</v>
      </c>
      <c r="J329" s="11" t="s">
        <v>4038</v>
      </c>
      <c r="K329" s="21"/>
    </row>
    <row r="330" spans="1:11" ht="17.25" customHeight="1">
      <c r="A330" s="11" t="str">
        <f t="shared" si="5"/>
        <v>E329</v>
      </c>
      <c r="B330" s="11" t="s">
        <v>3585</v>
      </c>
      <c r="D330" t="s">
        <v>3440</v>
      </c>
      <c r="J330" s="11" t="s">
        <v>4038</v>
      </c>
    </row>
    <row r="331" spans="1:11" ht="17.25" customHeight="1">
      <c r="A331" s="11" t="str">
        <f t="shared" si="5"/>
        <v>E330</v>
      </c>
      <c r="B331" s="11" t="s">
        <v>1412</v>
      </c>
      <c r="C331" s="11" t="s">
        <v>4033</v>
      </c>
      <c r="D331" t="s">
        <v>3440</v>
      </c>
      <c r="I331" s="11" t="s">
        <v>3444</v>
      </c>
      <c r="J331" s="11" t="s">
        <v>4035</v>
      </c>
      <c r="K331" s="15" t="s">
        <v>3472</v>
      </c>
    </row>
    <row r="332" spans="1:11" ht="17.25" customHeight="1">
      <c r="A332" s="11" t="str">
        <f t="shared" si="5"/>
        <v>E331</v>
      </c>
      <c r="D332" t="s">
        <v>3440</v>
      </c>
    </row>
    <row r="333" spans="1:11" ht="17.25" customHeight="1">
      <c r="A333" s="11" t="str">
        <f t="shared" si="5"/>
        <v>E332</v>
      </c>
      <c r="D333" t="s">
        <v>3440</v>
      </c>
    </row>
    <row r="334" spans="1:11" ht="17.25" customHeight="1">
      <c r="A334" s="11" t="str">
        <f t="shared" si="5"/>
        <v>E333</v>
      </c>
      <c r="D334" t="s">
        <v>3440</v>
      </c>
    </row>
    <row r="335" spans="1:11" ht="17.25" customHeight="1">
      <c r="A335" s="11" t="str">
        <f t="shared" si="5"/>
        <v>E334</v>
      </c>
      <c r="D335" t="s">
        <v>3440</v>
      </c>
    </row>
    <row r="336" spans="1:11" ht="17.25" customHeight="1">
      <c r="A336" s="11" t="str">
        <f t="shared" si="5"/>
        <v>E335</v>
      </c>
      <c r="D336" t="s">
        <v>3440</v>
      </c>
    </row>
    <row r="337" spans="1:4" ht="17.25" customHeight="1">
      <c r="A337" s="11" t="str">
        <f t="shared" si="5"/>
        <v>E336</v>
      </c>
      <c r="D337" t="s">
        <v>3440</v>
      </c>
    </row>
    <row r="338" spans="1:4" ht="17.25" customHeight="1">
      <c r="A338" s="11" t="str">
        <f t="shared" si="5"/>
        <v>E337</v>
      </c>
      <c r="D338" t="s">
        <v>3440</v>
      </c>
    </row>
    <row r="339" spans="1:4" ht="17.25" customHeight="1">
      <c r="A339" s="11" t="str">
        <f t="shared" si="5"/>
        <v>E338</v>
      </c>
      <c r="D339" t="s">
        <v>3440</v>
      </c>
    </row>
    <row r="340" spans="1:4" ht="17.25" customHeight="1">
      <c r="A340" s="11" t="str">
        <f t="shared" si="5"/>
        <v>E339</v>
      </c>
      <c r="D340" t="s">
        <v>3440</v>
      </c>
    </row>
    <row r="341" spans="1:4" ht="17.25" customHeight="1">
      <c r="A341" s="11" t="str">
        <f t="shared" si="5"/>
        <v>E340</v>
      </c>
      <c r="D341" t="s">
        <v>3440</v>
      </c>
    </row>
    <row r="342" spans="1:4" ht="17.25" customHeight="1">
      <c r="A342" s="11" t="str">
        <f t="shared" si="5"/>
        <v>E341</v>
      </c>
      <c r="D342" t="s">
        <v>3440</v>
      </c>
    </row>
    <row r="343" spans="1:4" ht="17.25" customHeight="1">
      <c r="A343" s="11" t="str">
        <f t="shared" si="5"/>
        <v>E342</v>
      </c>
      <c r="D343" t="s">
        <v>3440</v>
      </c>
    </row>
    <row r="344" spans="1:4" ht="17.25" customHeight="1">
      <c r="A344" s="11" t="str">
        <f t="shared" si="5"/>
        <v>E343</v>
      </c>
      <c r="D344" t="s">
        <v>3440</v>
      </c>
    </row>
    <row r="345" spans="1:4" ht="17.25" customHeight="1">
      <c r="A345" s="11" t="str">
        <f t="shared" si="5"/>
        <v>E344</v>
      </c>
      <c r="D345" t="s">
        <v>3440</v>
      </c>
    </row>
    <row r="346" spans="1:4" ht="17.25" customHeight="1">
      <c r="A346" s="11" t="str">
        <f t="shared" si="5"/>
        <v>E345</v>
      </c>
      <c r="D346" t="s">
        <v>3440</v>
      </c>
    </row>
    <row r="347" spans="1:4" ht="17.25" customHeight="1">
      <c r="A347" s="11" t="str">
        <f t="shared" si="5"/>
        <v>E346</v>
      </c>
      <c r="D347" t="s">
        <v>3440</v>
      </c>
    </row>
    <row r="348" spans="1:4" ht="17.25" customHeight="1">
      <c r="A348" s="11" t="str">
        <f t="shared" si="5"/>
        <v>E347</v>
      </c>
      <c r="D348" t="s">
        <v>3440</v>
      </c>
    </row>
    <row r="349" spans="1:4" ht="17.25" customHeight="1">
      <c r="A349" s="11" t="str">
        <f t="shared" si="5"/>
        <v>E348</v>
      </c>
      <c r="D349" t="s">
        <v>3440</v>
      </c>
    </row>
    <row r="350" spans="1:4" ht="17.25" customHeight="1">
      <c r="A350" s="11" t="str">
        <f t="shared" si="5"/>
        <v>E349</v>
      </c>
      <c r="D350" t="s">
        <v>3440</v>
      </c>
    </row>
    <row r="351" spans="1:4" ht="17.25" customHeight="1">
      <c r="A351" s="11" t="str">
        <f t="shared" si="5"/>
        <v>E350</v>
      </c>
      <c r="D351" t="s">
        <v>3440</v>
      </c>
    </row>
    <row r="352" spans="1:4" ht="17.25" customHeight="1">
      <c r="A352" s="11" t="str">
        <f t="shared" si="5"/>
        <v>E351</v>
      </c>
      <c r="D352" t="s">
        <v>3440</v>
      </c>
    </row>
    <row r="353" spans="1:4" ht="17.25" customHeight="1">
      <c r="A353" s="11" t="str">
        <f t="shared" si="5"/>
        <v>E352</v>
      </c>
      <c r="D353" t="s">
        <v>3440</v>
      </c>
    </row>
    <row r="354" spans="1:4" ht="17.25" customHeight="1">
      <c r="A354" s="11" t="str">
        <f t="shared" si="5"/>
        <v>E353</v>
      </c>
      <c r="D354" t="s">
        <v>3440</v>
      </c>
    </row>
    <row r="355" spans="1:4" ht="17.25" customHeight="1">
      <c r="A355" s="11" t="str">
        <f t="shared" si="5"/>
        <v>E354</v>
      </c>
      <c r="D355" t="s">
        <v>3440</v>
      </c>
    </row>
    <row r="356" spans="1:4" ht="17.25" customHeight="1">
      <c r="A356" s="11" t="str">
        <f t="shared" si="5"/>
        <v>E355</v>
      </c>
      <c r="D356" t="s">
        <v>3440</v>
      </c>
    </row>
    <row r="357" spans="1:4" ht="17.25" customHeight="1">
      <c r="A357" s="11" t="str">
        <f t="shared" si="5"/>
        <v>E356</v>
      </c>
      <c r="D357" t="s">
        <v>3440</v>
      </c>
    </row>
    <row r="358" spans="1:4" ht="17.25" customHeight="1">
      <c r="A358" s="11" t="str">
        <f t="shared" si="5"/>
        <v>E357</v>
      </c>
      <c r="D358" t="s">
        <v>3440</v>
      </c>
    </row>
    <row r="359" spans="1:4" ht="17.25" customHeight="1">
      <c r="A359" s="11" t="str">
        <f t="shared" si="5"/>
        <v>E358</v>
      </c>
      <c r="D359" t="s">
        <v>3440</v>
      </c>
    </row>
    <row r="360" spans="1:4" ht="17.25" customHeight="1">
      <c r="A360" s="11" t="str">
        <f t="shared" si="5"/>
        <v>E359</v>
      </c>
      <c r="D360" t="s">
        <v>3440</v>
      </c>
    </row>
    <row r="361" spans="1:4" ht="17.25" customHeight="1">
      <c r="A361" s="11" t="str">
        <f t="shared" si="5"/>
        <v>E360</v>
      </c>
      <c r="D361" t="s">
        <v>3440</v>
      </c>
    </row>
    <row r="362" spans="1:4" ht="17.25" customHeight="1">
      <c r="A362" s="11" t="str">
        <f t="shared" si="5"/>
        <v>E361</v>
      </c>
      <c r="D362" t="s">
        <v>3440</v>
      </c>
    </row>
    <row r="363" spans="1:4" ht="17.25" customHeight="1">
      <c r="A363" s="11" t="str">
        <f t="shared" si="5"/>
        <v>E362</v>
      </c>
      <c r="D363" t="s">
        <v>3440</v>
      </c>
    </row>
    <row r="364" spans="1:4" ht="17.25" customHeight="1">
      <c r="A364" s="11" t="str">
        <f t="shared" si="5"/>
        <v>E363</v>
      </c>
      <c r="D364" t="s">
        <v>3440</v>
      </c>
    </row>
    <row r="365" spans="1:4" ht="17.25" customHeight="1">
      <c r="A365" s="11" t="str">
        <f t="shared" si="5"/>
        <v>E364</v>
      </c>
      <c r="D365" t="s">
        <v>3440</v>
      </c>
    </row>
    <row r="366" spans="1:4" ht="17.25" customHeight="1">
      <c r="A366" s="11" t="str">
        <f t="shared" si="5"/>
        <v>E365</v>
      </c>
      <c r="D366" t="s">
        <v>3440</v>
      </c>
    </row>
    <row r="367" spans="1:4" ht="17.25" customHeight="1">
      <c r="A367" s="11" t="str">
        <f t="shared" si="5"/>
        <v>E366</v>
      </c>
      <c r="D367" t="s">
        <v>3440</v>
      </c>
    </row>
    <row r="368" spans="1:4" ht="17.25" customHeight="1">
      <c r="A368" s="11" t="str">
        <f t="shared" si="5"/>
        <v>E367</v>
      </c>
      <c r="D368" t="s">
        <v>3440</v>
      </c>
    </row>
    <row r="369" spans="1:4" ht="17.25" customHeight="1">
      <c r="A369" s="11" t="str">
        <f t="shared" si="5"/>
        <v>E368</v>
      </c>
      <c r="D369" t="s">
        <v>3440</v>
      </c>
    </row>
    <row r="370" spans="1:4" ht="17.25" customHeight="1">
      <c r="A370" s="11" t="str">
        <f t="shared" si="5"/>
        <v>E369</v>
      </c>
      <c r="D370" t="s">
        <v>3440</v>
      </c>
    </row>
    <row r="371" spans="1:4" ht="17.25" customHeight="1">
      <c r="A371" s="11" t="str">
        <f t="shared" si="5"/>
        <v>E370</v>
      </c>
      <c r="D371" t="s">
        <v>3440</v>
      </c>
    </row>
    <row r="372" spans="1:4" ht="17.25" customHeight="1">
      <c r="A372" s="11" t="str">
        <f t="shared" si="5"/>
        <v>E371</v>
      </c>
      <c r="D372" t="s">
        <v>3440</v>
      </c>
    </row>
    <row r="373" spans="1:4" ht="17.25" customHeight="1">
      <c r="A373" s="11" t="str">
        <f t="shared" si="5"/>
        <v>E372</v>
      </c>
      <c r="D373" t="s">
        <v>3440</v>
      </c>
    </row>
    <row r="374" spans="1:4" ht="17.25" customHeight="1">
      <c r="A374" s="11" t="str">
        <f t="shared" si="5"/>
        <v>E373</v>
      </c>
      <c r="D374" t="s">
        <v>3440</v>
      </c>
    </row>
    <row r="375" spans="1:4" ht="17.25" customHeight="1">
      <c r="A375" s="11" t="str">
        <f t="shared" si="5"/>
        <v>E374</v>
      </c>
      <c r="D375" t="s">
        <v>3440</v>
      </c>
    </row>
    <row r="376" spans="1:4" ht="17.25" customHeight="1">
      <c r="A376" s="11" t="str">
        <f t="shared" si="5"/>
        <v>E375</v>
      </c>
      <c r="D376" t="s">
        <v>3440</v>
      </c>
    </row>
    <row r="377" spans="1:4" ht="17.25" customHeight="1">
      <c r="A377" s="11" t="str">
        <f t="shared" si="5"/>
        <v>E376</v>
      </c>
      <c r="D377" t="s">
        <v>3440</v>
      </c>
    </row>
    <row r="378" spans="1:4" ht="17.25" customHeight="1">
      <c r="A378" s="11" t="str">
        <f t="shared" si="5"/>
        <v>E377</v>
      </c>
      <c r="D378" t="s">
        <v>3440</v>
      </c>
    </row>
    <row r="379" spans="1:4" ht="17.25" customHeight="1">
      <c r="A379" s="11" t="str">
        <f t="shared" si="5"/>
        <v>E378</v>
      </c>
      <c r="D379" t="s">
        <v>3440</v>
      </c>
    </row>
    <row r="380" spans="1:4" ht="17.25" customHeight="1">
      <c r="A380" s="11" t="str">
        <f t="shared" si="5"/>
        <v>E379</v>
      </c>
      <c r="D380" t="s">
        <v>3440</v>
      </c>
    </row>
    <row r="381" spans="1:4" ht="17.25" customHeight="1">
      <c r="A381" s="11" t="str">
        <f t="shared" si="5"/>
        <v>E380</v>
      </c>
      <c r="D381" t="s">
        <v>3440</v>
      </c>
    </row>
    <row r="382" spans="1:4" ht="17.25" customHeight="1">
      <c r="A382" s="11" t="str">
        <f t="shared" si="5"/>
        <v>E381</v>
      </c>
      <c r="D382" t="s">
        <v>3440</v>
      </c>
    </row>
    <row r="383" spans="1:4" ht="17.25" customHeight="1">
      <c r="A383" s="11" t="str">
        <f t="shared" si="5"/>
        <v>E382</v>
      </c>
      <c r="D383" t="s">
        <v>3440</v>
      </c>
    </row>
    <row r="384" spans="1:4" ht="17.25" customHeight="1">
      <c r="A384" s="11" t="str">
        <f t="shared" si="5"/>
        <v>E383</v>
      </c>
      <c r="D384" t="s">
        <v>3440</v>
      </c>
    </row>
    <row r="385" spans="1:4" ht="17.25" customHeight="1">
      <c r="A385" s="11" t="str">
        <f t="shared" si="5"/>
        <v>E384</v>
      </c>
      <c r="D385" t="s">
        <v>3440</v>
      </c>
    </row>
    <row r="386" spans="1:4" ht="17.25" customHeight="1">
      <c r="A386" s="11" t="str">
        <f t="shared" ref="A386:A405" si="6">_xlfn.CONCAT("E",TEXT(ROW()-1,"000"))</f>
        <v>E385</v>
      </c>
      <c r="D386" t="s">
        <v>3440</v>
      </c>
    </row>
    <row r="387" spans="1:4" ht="17.25" customHeight="1">
      <c r="A387" s="11" t="str">
        <f t="shared" si="6"/>
        <v>E386</v>
      </c>
      <c r="D387" t="s">
        <v>3440</v>
      </c>
    </row>
    <row r="388" spans="1:4" ht="17.25" customHeight="1">
      <c r="A388" s="11" t="str">
        <f t="shared" si="6"/>
        <v>E387</v>
      </c>
      <c r="D388" t="s">
        <v>3440</v>
      </c>
    </row>
    <row r="389" spans="1:4" ht="17.25" customHeight="1">
      <c r="A389" s="11" t="str">
        <f t="shared" si="6"/>
        <v>E388</v>
      </c>
      <c r="D389" t="s">
        <v>3440</v>
      </c>
    </row>
    <row r="390" spans="1:4" ht="17.25" customHeight="1">
      <c r="A390" s="11" t="str">
        <f t="shared" si="6"/>
        <v>E389</v>
      </c>
      <c r="D390" t="s">
        <v>3440</v>
      </c>
    </row>
    <row r="391" spans="1:4" ht="17.25" customHeight="1">
      <c r="A391" s="11" t="str">
        <f t="shared" si="6"/>
        <v>E390</v>
      </c>
      <c r="D391" t="s">
        <v>3440</v>
      </c>
    </row>
    <row r="392" spans="1:4" ht="17.25" customHeight="1">
      <c r="A392" s="11" t="str">
        <f t="shared" si="6"/>
        <v>E391</v>
      </c>
      <c r="D392" t="s">
        <v>3440</v>
      </c>
    </row>
    <row r="393" spans="1:4" ht="17.25" customHeight="1">
      <c r="A393" s="11" t="str">
        <f t="shared" si="6"/>
        <v>E392</v>
      </c>
      <c r="D393" t="s">
        <v>3440</v>
      </c>
    </row>
    <row r="394" spans="1:4" ht="17.25" customHeight="1">
      <c r="A394" s="11" t="str">
        <f t="shared" si="6"/>
        <v>E393</v>
      </c>
      <c r="D394" t="s">
        <v>3440</v>
      </c>
    </row>
    <row r="395" spans="1:4" ht="17.25" customHeight="1">
      <c r="A395" s="11" t="str">
        <f t="shared" si="6"/>
        <v>E394</v>
      </c>
      <c r="D395" t="s">
        <v>3440</v>
      </c>
    </row>
    <row r="396" spans="1:4" ht="17.25" customHeight="1">
      <c r="A396" s="11" t="str">
        <f t="shared" si="6"/>
        <v>E395</v>
      </c>
      <c r="D396" t="s">
        <v>3440</v>
      </c>
    </row>
    <row r="397" spans="1:4" ht="17.25" customHeight="1">
      <c r="A397" s="11" t="str">
        <f t="shared" si="6"/>
        <v>E396</v>
      </c>
      <c r="D397" t="s">
        <v>3440</v>
      </c>
    </row>
    <row r="398" spans="1:4" ht="17.25" customHeight="1">
      <c r="A398" s="11" t="str">
        <f t="shared" si="6"/>
        <v>E397</v>
      </c>
      <c r="D398" t="s">
        <v>3440</v>
      </c>
    </row>
    <row r="399" spans="1:4" ht="17.25" customHeight="1">
      <c r="A399" s="11" t="str">
        <f t="shared" si="6"/>
        <v>E398</v>
      </c>
      <c r="D399" t="s">
        <v>3440</v>
      </c>
    </row>
    <row r="400" spans="1:4" ht="17.25" customHeight="1">
      <c r="A400" s="11" t="str">
        <f t="shared" si="6"/>
        <v>E399</v>
      </c>
      <c r="D400" t="s">
        <v>3440</v>
      </c>
    </row>
    <row r="401" spans="1:4" ht="17.25" customHeight="1">
      <c r="A401" s="11" t="str">
        <f t="shared" si="6"/>
        <v>E400</v>
      </c>
      <c r="D401" t="s">
        <v>3440</v>
      </c>
    </row>
    <row r="402" spans="1:4" ht="17.25" customHeight="1">
      <c r="A402" s="11" t="str">
        <f t="shared" si="6"/>
        <v>E401</v>
      </c>
      <c r="D402" t="s">
        <v>3440</v>
      </c>
    </row>
    <row r="403" spans="1:4" ht="17.25" customHeight="1">
      <c r="A403" s="11" t="str">
        <f t="shared" si="6"/>
        <v>E402</v>
      </c>
      <c r="D403" t="s">
        <v>3440</v>
      </c>
    </row>
    <row r="404" spans="1:4" ht="17.25" customHeight="1">
      <c r="A404" s="11" t="str">
        <f t="shared" si="6"/>
        <v>E403</v>
      </c>
      <c r="D404" t="s">
        <v>3440</v>
      </c>
    </row>
    <row r="405" spans="1:4" ht="17.25" customHeight="1">
      <c r="A405" s="11" t="str">
        <f t="shared" si="6"/>
        <v>E404</v>
      </c>
      <c r="D405" t="s">
        <v>3440</v>
      </c>
    </row>
  </sheetData>
  <conditionalFormatting sqref="J1:J327 J405:J1048576 A83">
    <cfRule type="containsText" dxfId="2" priority="5" operator="containsText" text="No interesado">
      <formula>NOT(ISERROR(SEARCH("No interesado",A1)))</formula>
    </cfRule>
  </conditionalFormatting>
  <conditionalFormatting sqref="J1:J327 J405:J1048576">
    <cfRule type="containsText" dxfId="1" priority="1" operator="containsText" text="Cotizado">
      <formula>NOT(ISERROR(SEARCH("Cotizado",J1)))</formula>
    </cfRule>
    <cfRule type="containsText" dxfId="0" priority="2" operator="containsText" text="Reunion Agendada">
      <formula>NOT(ISERROR(SEARCH("Reunion Agendada",J1)))</formula>
    </cfRule>
  </conditionalFormatting>
  <dataValidations count="1">
    <dataValidation allowBlank="1" showInputMessage="1" showErrorMessage="1" sqref="D1:D202 D204:D258 D261:D264 D266:D271 D274:D327 D329:D338 D340:D387 D389:D397 D399:D1048576 F1" xr:uid="{00000000-0002-0000-0000-000000000000}"/>
  </dataValidations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1" r:id="rId19" xr:uid="{00000000-0004-0000-0000-000012000000}"/>
    <hyperlink ref="D22" r:id="rId20" xr:uid="{00000000-0004-0000-0000-000013000000}"/>
    <hyperlink ref="D23" r:id="rId21" xr:uid="{00000000-0004-0000-0000-000014000000}"/>
    <hyperlink ref="D24" r:id="rId22" xr:uid="{00000000-0004-0000-0000-000015000000}"/>
    <hyperlink ref="D25" r:id="rId23" xr:uid="{00000000-0004-0000-0000-000016000000}"/>
    <hyperlink ref="D26" r:id="rId24" xr:uid="{00000000-0004-0000-0000-000017000000}"/>
    <hyperlink ref="D27" r:id="rId25" xr:uid="{00000000-0004-0000-0000-000018000000}"/>
    <hyperlink ref="D28" r:id="rId26" xr:uid="{00000000-0004-0000-0000-000019000000}"/>
    <hyperlink ref="D29" r:id="rId27" xr:uid="{00000000-0004-0000-0000-00001A000000}"/>
    <hyperlink ref="D30" r:id="rId28" xr:uid="{00000000-0004-0000-0000-00001B000000}"/>
    <hyperlink ref="D31" r:id="rId29" xr:uid="{00000000-0004-0000-0000-00001C000000}"/>
    <hyperlink ref="D32" r:id="rId30" xr:uid="{00000000-0004-0000-0000-00001D000000}"/>
    <hyperlink ref="D33" r:id="rId31" xr:uid="{00000000-0004-0000-0000-00001E000000}"/>
    <hyperlink ref="D34" r:id="rId32" xr:uid="{00000000-0004-0000-0000-00001F000000}"/>
    <hyperlink ref="D35" r:id="rId33" xr:uid="{00000000-0004-0000-0000-000020000000}"/>
    <hyperlink ref="D36" r:id="rId34" xr:uid="{00000000-0004-0000-0000-000021000000}"/>
    <hyperlink ref="D37" r:id="rId35" xr:uid="{00000000-0004-0000-0000-000022000000}"/>
    <hyperlink ref="D38" r:id="rId36" xr:uid="{00000000-0004-0000-0000-000023000000}"/>
    <hyperlink ref="D39" r:id="rId37" xr:uid="{00000000-0004-0000-0000-000024000000}"/>
    <hyperlink ref="D40" r:id="rId38" xr:uid="{00000000-0004-0000-0000-000025000000}"/>
    <hyperlink ref="D60" r:id="rId39" xr:uid="{00000000-0004-0000-0000-000026000000}"/>
    <hyperlink ref="D94" r:id="rId40" xr:uid="{00000000-0004-0000-0000-000027000000}"/>
    <hyperlink ref="D109" r:id="rId41" xr:uid="{00000000-0004-0000-0000-000028000000}"/>
    <hyperlink ref="D110" r:id="rId42" xr:uid="{00000000-0004-0000-0000-000029000000}"/>
    <hyperlink ref="D111" r:id="rId43" xr:uid="{00000000-0004-0000-0000-00002A000000}"/>
    <hyperlink ref="D112" r:id="rId44" xr:uid="{00000000-0004-0000-0000-00002B000000}"/>
    <hyperlink ref="D114" r:id="rId45" xr:uid="{00000000-0004-0000-0000-00002C000000}"/>
    <hyperlink ref="D115" r:id="rId46" xr:uid="{00000000-0004-0000-0000-00002D000000}"/>
    <hyperlink ref="D116" r:id="rId47" xr:uid="{00000000-0004-0000-0000-00002E000000}"/>
    <hyperlink ref="D117" r:id="rId48" xr:uid="{00000000-0004-0000-0000-00002F000000}"/>
    <hyperlink ref="D118" r:id="rId49" xr:uid="{00000000-0004-0000-0000-000030000000}"/>
    <hyperlink ref="D119" r:id="rId50" xr:uid="{00000000-0004-0000-0000-000031000000}"/>
    <hyperlink ref="D120" r:id="rId51" xr:uid="{00000000-0004-0000-0000-000032000000}"/>
    <hyperlink ref="D121" r:id="rId52" xr:uid="{00000000-0004-0000-0000-000033000000}"/>
    <hyperlink ref="D124" r:id="rId53" xr:uid="{00000000-0004-0000-0000-000034000000}"/>
    <hyperlink ref="D125" r:id="rId54" xr:uid="{00000000-0004-0000-0000-000035000000}"/>
    <hyperlink ref="D126" r:id="rId55" xr:uid="{00000000-0004-0000-0000-000036000000}"/>
    <hyperlink ref="D127" r:id="rId56" xr:uid="{00000000-0004-0000-0000-000037000000}"/>
    <hyperlink ref="D128" r:id="rId57" xr:uid="{00000000-0004-0000-0000-000038000000}"/>
    <hyperlink ref="D129" r:id="rId58" xr:uid="{00000000-0004-0000-0000-000039000000}"/>
    <hyperlink ref="D130" r:id="rId59" xr:uid="{00000000-0004-0000-0000-00003A000000}"/>
    <hyperlink ref="D132" r:id="rId60" xr:uid="{00000000-0004-0000-0000-00003B000000}"/>
    <hyperlink ref="D133" r:id="rId61" xr:uid="{00000000-0004-0000-0000-00003C000000}"/>
    <hyperlink ref="D134" r:id="rId62" xr:uid="{00000000-0004-0000-0000-00003D000000}"/>
    <hyperlink ref="D135" r:id="rId63" xr:uid="{00000000-0004-0000-0000-00003E000000}"/>
    <hyperlink ref="D136" r:id="rId64" xr:uid="{00000000-0004-0000-0000-00003F000000}"/>
    <hyperlink ref="D137" r:id="rId65" xr:uid="{00000000-0004-0000-0000-000040000000}"/>
    <hyperlink ref="D138" r:id="rId66" xr:uid="{00000000-0004-0000-0000-000041000000}"/>
    <hyperlink ref="D139" r:id="rId67" xr:uid="{00000000-0004-0000-0000-000042000000}"/>
    <hyperlink ref="D140" r:id="rId68" xr:uid="{00000000-0004-0000-0000-000043000000}"/>
    <hyperlink ref="D141" r:id="rId69" xr:uid="{00000000-0004-0000-0000-000044000000}"/>
    <hyperlink ref="D142" r:id="rId70" xr:uid="{00000000-0004-0000-0000-000045000000}"/>
    <hyperlink ref="D143" r:id="rId71" xr:uid="{00000000-0004-0000-0000-000046000000}"/>
    <hyperlink ref="D144" r:id="rId72" xr:uid="{00000000-0004-0000-0000-000047000000}"/>
    <hyperlink ref="D146" r:id="rId73" xr:uid="{00000000-0004-0000-0000-000048000000}"/>
    <hyperlink ref="D147" r:id="rId74" xr:uid="{00000000-0004-0000-0000-000049000000}"/>
    <hyperlink ref="D149" r:id="rId75" xr:uid="{00000000-0004-0000-0000-00004A000000}"/>
    <hyperlink ref="D150" r:id="rId76" xr:uid="{00000000-0004-0000-0000-00004B000000}"/>
    <hyperlink ref="D151" r:id="rId77" xr:uid="{00000000-0004-0000-0000-00004C000000}"/>
    <hyperlink ref="D152" r:id="rId78" xr:uid="{00000000-0004-0000-0000-00004D000000}"/>
    <hyperlink ref="D153" r:id="rId79" xr:uid="{00000000-0004-0000-0000-00004E000000}"/>
    <hyperlink ref="D154" r:id="rId80" xr:uid="{00000000-0004-0000-0000-00004F000000}"/>
    <hyperlink ref="D155" r:id="rId81" xr:uid="{00000000-0004-0000-0000-000050000000}"/>
    <hyperlink ref="D156" r:id="rId82" xr:uid="{00000000-0004-0000-0000-000051000000}"/>
    <hyperlink ref="D157" r:id="rId83" xr:uid="{00000000-0004-0000-0000-000052000000}"/>
    <hyperlink ref="D158" r:id="rId84" xr:uid="{00000000-0004-0000-0000-000053000000}"/>
    <hyperlink ref="D159" r:id="rId85" xr:uid="{00000000-0004-0000-0000-000054000000}"/>
    <hyperlink ref="D160" r:id="rId86" xr:uid="{00000000-0004-0000-0000-000055000000}"/>
    <hyperlink ref="D161" r:id="rId87" xr:uid="{00000000-0004-0000-0000-000056000000}"/>
    <hyperlink ref="D162" r:id="rId88" xr:uid="{00000000-0004-0000-0000-000057000000}"/>
    <hyperlink ref="D163" r:id="rId89" xr:uid="{00000000-0004-0000-0000-000058000000}"/>
    <hyperlink ref="D164" r:id="rId90" xr:uid="{00000000-0004-0000-0000-000059000000}"/>
    <hyperlink ref="D165" r:id="rId91" xr:uid="{00000000-0004-0000-0000-00005A000000}"/>
    <hyperlink ref="D166" r:id="rId92" xr:uid="{00000000-0004-0000-0000-00005B000000}"/>
    <hyperlink ref="D167" r:id="rId93" xr:uid="{00000000-0004-0000-0000-00005C000000}"/>
    <hyperlink ref="D168" r:id="rId94" xr:uid="{00000000-0004-0000-0000-00005D000000}"/>
    <hyperlink ref="D169" r:id="rId95" xr:uid="{00000000-0004-0000-0000-00005E000000}"/>
    <hyperlink ref="D170" r:id="rId96" xr:uid="{00000000-0004-0000-0000-00005F000000}"/>
    <hyperlink ref="D171" r:id="rId97" xr:uid="{00000000-0004-0000-0000-000060000000}"/>
    <hyperlink ref="D173" r:id="rId98" xr:uid="{00000000-0004-0000-0000-000061000000}"/>
    <hyperlink ref="D178" r:id="rId99" xr:uid="{00000000-0004-0000-0000-000062000000}"/>
    <hyperlink ref="D179" r:id="rId100" xr:uid="{00000000-0004-0000-0000-000063000000}"/>
    <hyperlink ref="D180" r:id="rId101" xr:uid="{00000000-0004-0000-0000-000064000000}"/>
    <hyperlink ref="D181" r:id="rId102" xr:uid="{00000000-0004-0000-0000-000065000000}"/>
    <hyperlink ref="D182" r:id="rId103" xr:uid="{00000000-0004-0000-0000-000066000000}"/>
    <hyperlink ref="D184" r:id="rId104" xr:uid="{00000000-0004-0000-0000-000067000000}"/>
    <hyperlink ref="D185" r:id="rId105" xr:uid="{00000000-0004-0000-0000-000068000000}"/>
    <hyperlink ref="D187" r:id="rId106" xr:uid="{00000000-0004-0000-0000-000069000000}"/>
    <hyperlink ref="D188" r:id="rId107" xr:uid="{00000000-0004-0000-0000-00006A000000}"/>
    <hyperlink ref="D189" r:id="rId108" xr:uid="{00000000-0004-0000-0000-00006B000000}"/>
    <hyperlink ref="D190" r:id="rId109" xr:uid="{00000000-0004-0000-0000-00006C000000}"/>
    <hyperlink ref="D191" r:id="rId110" xr:uid="{00000000-0004-0000-0000-00006D000000}"/>
    <hyperlink ref="D192" r:id="rId111" xr:uid="{00000000-0004-0000-0000-00006E000000}"/>
    <hyperlink ref="D193" r:id="rId112" xr:uid="{00000000-0004-0000-0000-00006F000000}"/>
    <hyperlink ref="D194" r:id="rId113" xr:uid="{00000000-0004-0000-0000-000070000000}"/>
    <hyperlink ref="D195" r:id="rId114" xr:uid="{00000000-0004-0000-0000-000071000000}"/>
    <hyperlink ref="D196" r:id="rId115" xr:uid="{00000000-0004-0000-0000-000072000000}"/>
    <hyperlink ref="D197" r:id="rId116" xr:uid="{00000000-0004-0000-0000-000073000000}"/>
    <hyperlink ref="D198" r:id="rId117" xr:uid="{00000000-0004-0000-0000-000074000000}"/>
    <hyperlink ref="D199" r:id="rId118" xr:uid="{00000000-0004-0000-0000-000075000000}"/>
    <hyperlink ref="D200" r:id="rId119" xr:uid="{00000000-0004-0000-0000-000076000000}"/>
    <hyperlink ref="D201" r:id="rId120" xr:uid="{00000000-0004-0000-0000-000077000000}"/>
    <hyperlink ref="D202" r:id="rId121" xr:uid="{00000000-0004-0000-0000-000078000000}"/>
    <hyperlink ref="D229" r:id="rId122" xr:uid="{00000000-0004-0000-0000-000079000000}"/>
    <hyperlink ref="D230" r:id="rId123" xr:uid="{00000000-0004-0000-0000-00007A000000}"/>
    <hyperlink ref="D238" r:id="rId124" xr:uid="{00000000-0004-0000-0000-00007B000000}"/>
    <hyperlink ref="D246" r:id="rId125" xr:uid="{00000000-0004-0000-0000-00007C000000}"/>
    <hyperlink ref="D251" r:id="rId126" xr:uid="{00000000-0004-0000-0000-00007D000000}"/>
    <hyperlink ref="D252" r:id="rId127" xr:uid="{00000000-0004-0000-0000-00007E000000}"/>
    <hyperlink ref="D253" r:id="rId128" xr:uid="{00000000-0004-0000-0000-00007F000000}"/>
    <hyperlink ref="D254" r:id="rId129" xr:uid="{00000000-0004-0000-0000-000080000000}"/>
    <hyperlink ref="D256" r:id="rId130" xr:uid="{00000000-0004-0000-0000-000081000000}"/>
    <hyperlink ref="D257" r:id="rId131" xr:uid="{00000000-0004-0000-0000-000082000000}"/>
    <hyperlink ref="D258" r:id="rId132" xr:uid="{00000000-0004-0000-0000-000083000000}"/>
    <hyperlink ref="D259" r:id="rId133" xr:uid="{00000000-0004-0000-0000-000084000000}"/>
    <hyperlink ref="D260" r:id="rId134" xr:uid="{00000000-0004-0000-0000-000085000000}"/>
    <hyperlink ref="D261" r:id="rId135" xr:uid="{00000000-0004-0000-0000-000086000000}"/>
    <hyperlink ref="D262" r:id="rId136" xr:uid="{00000000-0004-0000-0000-000087000000}"/>
    <hyperlink ref="D263" r:id="rId137" xr:uid="{00000000-0004-0000-0000-000088000000}"/>
    <hyperlink ref="D264" r:id="rId138" xr:uid="{00000000-0004-0000-0000-000089000000}"/>
    <hyperlink ref="D265" r:id="rId139" xr:uid="{00000000-0004-0000-0000-00008A000000}"/>
    <hyperlink ref="D266" r:id="rId140" xr:uid="{00000000-0004-0000-0000-00008B000000}"/>
    <hyperlink ref="D267" r:id="rId141" xr:uid="{00000000-0004-0000-0000-00008C000000}"/>
    <hyperlink ref="D268" r:id="rId142" xr:uid="{00000000-0004-0000-0000-00008D000000}"/>
    <hyperlink ref="D269" r:id="rId143" xr:uid="{00000000-0004-0000-0000-00008E000000}"/>
    <hyperlink ref="D270" r:id="rId144" xr:uid="{00000000-0004-0000-0000-00008F000000}"/>
    <hyperlink ref="D271" r:id="rId145" xr:uid="{00000000-0004-0000-0000-000090000000}"/>
    <hyperlink ref="D272" r:id="rId146" xr:uid="{00000000-0004-0000-0000-000091000000}"/>
    <hyperlink ref="D273" r:id="rId147" xr:uid="{00000000-0004-0000-0000-000092000000}"/>
    <hyperlink ref="D274" r:id="rId148" xr:uid="{00000000-0004-0000-0000-000093000000}"/>
    <hyperlink ref="D275" r:id="rId149" xr:uid="{00000000-0004-0000-0000-000094000000}"/>
    <hyperlink ref="D276" r:id="rId150" xr:uid="{00000000-0004-0000-0000-000095000000}"/>
    <hyperlink ref="D277" r:id="rId151" xr:uid="{00000000-0004-0000-0000-000096000000}"/>
    <hyperlink ref="D279" r:id="rId152" xr:uid="{00000000-0004-0000-0000-000097000000}"/>
    <hyperlink ref="D282" r:id="rId153" xr:uid="{00000000-0004-0000-0000-000098000000}"/>
    <hyperlink ref="D283" r:id="rId154" xr:uid="{00000000-0004-0000-0000-000099000000}"/>
    <hyperlink ref="D284" r:id="rId155" xr:uid="{00000000-0004-0000-0000-00009A000000}"/>
    <hyperlink ref="D285" r:id="rId156" xr:uid="{00000000-0004-0000-0000-00009B000000}"/>
    <hyperlink ref="D287" r:id="rId157" xr:uid="{00000000-0004-0000-0000-00009C000000}"/>
    <hyperlink ref="D288" r:id="rId158" xr:uid="{00000000-0004-0000-0000-00009D000000}"/>
    <hyperlink ref="D289" r:id="rId159" xr:uid="{00000000-0004-0000-0000-00009E000000}"/>
    <hyperlink ref="D290" r:id="rId160" xr:uid="{00000000-0004-0000-0000-00009F000000}"/>
    <hyperlink ref="D292" r:id="rId161" xr:uid="{00000000-0004-0000-0000-0000A0000000}"/>
    <hyperlink ref="D296" r:id="rId162" xr:uid="{00000000-0004-0000-0000-0000A1000000}"/>
    <hyperlink ref="D297" r:id="rId163" xr:uid="{00000000-0004-0000-0000-0000A2000000}"/>
    <hyperlink ref="D299" r:id="rId164" xr:uid="{00000000-0004-0000-0000-0000A3000000}"/>
    <hyperlink ref="D300" r:id="rId165" xr:uid="{00000000-0004-0000-0000-0000A4000000}"/>
    <hyperlink ref="D301" r:id="rId166" xr:uid="{00000000-0004-0000-0000-0000A5000000}"/>
    <hyperlink ref="D304" r:id="rId167" xr:uid="{00000000-0004-0000-0000-0000A6000000}"/>
    <hyperlink ref="D306" r:id="rId168" xr:uid="{00000000-0004-0000-0000-0000A7000000}"/>
    <hyperlink ref="D307" r:id="rId169" xr:uid="{00000000-0004-0000-0000-0000A8000000}"/>
    <hyperlink ref="D308" r:id="rId170" xr:uid="{00000000-0004-0000-0000-0000A9000000}"/>
    <hyperlink ref="D309" r:id="rId171" xr:uid="{00000000-0004-0000-0000-0000AA000000}"/>
    <hyperlink ref="D313" r:id="rId172" xr:uid="{00000000-0004-0000-0000-0000AB000000}"/>
    <hyperlink ref="D314" r:id="rId173" xr:uid="{00000000-0004-0000-0000-0000AC000000}"/>
    <hyperlink ref="D316" r:id="rId174" xr:uid="{00000000-0004-0000-0000-0000AD000000}"/>
    <hyperlink ref="D317" r:id="rId175" xr:uid="{00000000-0004-0000-0000-0000AE000000}"/>
    <hyperlink ref="D319" r:id="rId176" xr:uid="{00000000-0004-0000-0000-0000AF000000}"/>
  </hyperlinks>
  <pageMargins left="0.7" right="0.7" top="0.75" bottom="0.75" header="0.3" footer="0.3"/>
  <tableParts count="1">
    <tablePart r:id="rId17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AF53"/>
  </sheetPr>
  <dimension ref="A1:Q797"/>
  <sheetViews>
    <sheetView topLeftCell="D240" workbookViewId="0">
      <selection activeCell="H257" sqref="H257"/>
    </sheetView>
  </sheetViews>
  <sheetFormatPr defaultColWidth="20.42578125" defaultRowHeight="16.5" customHeight="1"/>
  <cols>
    <col min="1" max="1" width="5.28515625" style="42" customWidth="1"/>
    <col min="2" max="2" width="5" style="42" customWidth="1"/>
    <col min="3" max="3" width="17.42578125" style="22" customWidth="1"/>
    <col min="4" max="4" width="22.5703125" style="42" customWidth="1"/>
    <col min="5" max="5" width="31.28515625" style="42" customWidth="1"/>
    <col min="6" max="6" width="17.7109375" style="22" customWidth="1"/>
    <col min="7" max="7" width="18.7109375" customWidth="1"/>
    <col min="8" max="8" width="16.28515625" style="22" customWidth="1"/>
    <col min="9" max="9" width="25.5703125" style="22" customWidth="1"/>
    <col min="10" max="10" width="9.140625" style="42" customWidth="1"/>
    <col min="11" max="11" width="20.28515625" customWidth="1"/>
  </cols>
  <sheetData>
    <row r="1" spans="1:11" ht="16.5" customHeight="1">
      <c r="A1" s="42" t="s">
        <v>0</v>
      </c>
      <c r="B1" s="42" t="s">
        <v>1</v>
      </c>
      <c r="C1" s="22" t="s">
        <v>2</v>
      </c>
      <c r="D1" s="42" t="s">
        <v>3</v>
      </c>
      <c r="E1" s="42" t="s">
        <v>4</v>
      </c>
      <c r="F1" s="22" t="s">
        <v>5</v>
      </c>
      <c r="G1" t="s">
        <v>6</v>
      </c>
      <c r="H1" s="22" t="s">
        <v>7</v>
      </c>
      <c r="I1" s="22" t="s">
        <v>8</v>
      </c>
      <c r="J1" s="42" t="s">
        <v>9</v>
      </c>
      <c r="K1" t="s">
        <v>10</v>
      </c>
    </row>
    <row r="2" spans="1:11" ht="24.75" customHeight="1">
      <c r="A2" s="42" t="str">
        <f t="shared" ref="A2:A33" si="0">_xlfn.CONCAT("C",TEXT(ROW()-1,"000"))</f>
        <v>C001</v>
      </c>
      <c r="B2" s="42" t="s">
        <v>11</v>
      </c>
      <c r="C2" s="22" t="s">
        <v>12</v>
      </c>
      <c r="D2" s="42" t="s">
        <v>13</v>
      </c>
      <c r="E2" s="42" t="s">
        <v>14</v>
      </c>
      <c r="F2" s="22" t="s">
        <v>15</v>
      </c>
      <c r="G2" t="s">
        <v>16</v>
      </c>
      <c r="H2" s="22" t="s">
        <v>17</v>
      </c>
      <c r="I2" s="22" t="s">
        <v>18</v>
      </c>
      <c r="J2" s="42">
        <v>2</v>
      </c>
    </row>
    <row r="3" spans="1:11" ht="31.5" customHeight="1">
      <c r="A3" s="42" t="str">
        <f t="shared" si="0"/>
        <v>C002</v>
      </c>
      <c r="B3" s="42" t="s">
        <v>11</v>
      </c>
      <c r="C3" s="22" t="s">
        <v>12</v>
      </c>
      <c r="D3" s="42" t="s">
        <v>19</v>
      </c>
      <c r="E3" s="42" t="s">
        <v>20</v>
      </c>
      <c r="F3" s="22" t="s">
        <v>21</v>
      </c>
      <c r="G3" t="s">
        <v>22</v>
      </c>
      <c r="H3" s="22" t="s">
        <v>23</v>
      </c>
      <c r="I3" s="22" t="s">
        <v>18</v>
      </c>
      <c r="J3" s="42">
        <v>6</v>
      </c>
    </row>
    <row r="4" spans="1:11" ht="33" customHeight="1">
      <c r="A4" s="42" t="str">
        <f t="shared" si="0"/>
        <v>C003</v>
      </c>
      <c r="B4" s="42" t="s">
        <v>11</v>
      </c>
      <c r="C4" s="22" t="s">
        <v>12</v>
      </c>
      <c r="D4" s="42" t="s">
        <v>24</v>
      </c>
      <c r="E4" s="42" t="s">
        <v>25</v>
      </c>
      <c r="F4" s="22" t="s">
        <v>26</v>
      </c>
      <c r="G4" t="s">
        <v>27</v>
      </c>
      <c r="H4" s="22" t="s">
        <v>28</v>
      </c>
      <c r="I4" s="22" t="s">
        <v>18</v>
      </c>
      <c r="J4" s="42">
        <v>3</v>
      </c>
    </row>
    <row r="5" spans="1:11" ht="16.5" customHeight="1">
      <c r="A5" s="42" t="str">
        <f t="shared" si="0"/>
        <v>C004</v>
      </c>
      <c r="B5" s="42" t="s">
        <v>11</v>
      </c>
      <c r="C5" s="22" t="s">
        <v>12</v>
      </c>
      <c r="D5" s="42" t="s">
        <v>29</v>
      </c>
      <c r="E5" s="42" t="s">
        <v>30</v>
      </c>
      <c r="F5" s="22" t="s">
        <v>31</v>
      </c>
      <c r="G5" t="s">
        <v>32</v>
      </c>
      <c r="H5" s="22" t="s">
        <v>33</v>
      </c>
      <c r="I5" s="22" t="s">
        <v>18</v>
      </c>
      <c r="J5" s="42">
        <v>3</v>
      </c>
    </row>
    <row r="6" spans="1:11" ht="25.5" customHeight="1">
      <c r="A6" s="42" t="str">
        <f t="shared" si="0"/>
        <v>C005</v>
      </c>
      <c r="B6" s="42" t="s">
        <v>34</v>
      </c>
      <c r="C6" s="22" t="s">
        <v>35</v>
      </c>
      <c r="D6" s="42" t="s">
        <v>36</v>
      </c>
      <c r="E6" s="42" t="s">
        <v>37</v>
      </c>
      <c r="F6" s="21" t="s">
        <v>38</v>
      </c>
      <c r="H6" s="22" t="s">
        <v>39</v>
      </c>
      <c r="I6" s="22" t="s">
        <v>18</v>
      </c>
      <c r="J6" s="42">
        <v>3</v>
      </c>
    </row>
    <row r="7" spans="1:11" ht="16.5" customHeight="1">
      <c r="A7" s="42" t="str">
        <f t="shared" si="0"/>
        <v>C006</v>
      </c>
      <c r="B7" s="42" t="s">
        <v>34</v>
      </c>
      <c r="C7" s="22" t="s">
        <v>35</v>
      </c>
      <c r="D7" s="42" t="s">
        <v>40</v>
      </c>
      <c r="E7" s="42" t="s">
        <v>41</v>
      </c>
      <c r="F7" s="22" t="s">
        <v>42</v>
      </c>
      <c r="H7" s="22" t="s">
        <v>43</v>
      </c>
      <c r="I7" s="22" t="s">
        <v>18</v>
      </c>
      <c r="J7" s="42">
        <v>3</v>
      </c>
    </row>
    <row r="8" spans="1:11" ht="16.5" customHeight="1">
      <c r="A8" s="42" t="str">
        <f t="shared" si="0"/>
        <v>C007</v>
      </c>
      <c r="B8" s="42" t="s">
        <v>34</v>
      </c>
      <c r="C8" s="22" t="s">
        <v>35</v>
      </c>
      <c r="D8" s="42" t="s">
        <v>44</v>
      </c>
      <c r="E8" s="42" t="s">
        <v>45</v>
      </c>
      <c r="F8" s="22" t="s">
        <v>46</v>
      </c>
      <c r="H8" s="22" t="s">
        <v>47</v>
      </c>
      <c r="I8" s="22" t="s">
        <v>18</v>
      </c>
      <c r="J8" s="42">
        <v>1</v>
      </c>
    </row>
    <row r="9" spans="1:11" ht="16.5" customHeight="1">
      <c r="A9" s="42" t="str">
        <f t="shared" si="0"/>
        <v>C008</v>
      </c>
      <c r="B9" s="42" t="s">
        <v>48</v>
      </c>
      <c r="C9" s="22" t="s">
        <v>49</v>
      </c>
      <c r="D9" s="42" t="s">
        <v>50</v>
      </c>
      <c r="E9" s="42" t="s">
        <v>51</v>
      </c>
      <c r="F9" s="22" t="s">
        <v>52</v>
      </c>
      <c r="H9" s="22" t="s">
        <v>53</v>
      </c>
      <c r="I9" s="22" t="s">
        <v>18</v>
      </c>
      <c r="J9" s="42">
        <v>1</v>
      </c>
    </row>
    <row r="10" spans="1:11" ht="16.5" customHeight="1">
      <c r="A10" s="42" t="str">
        <f t="shared" si="0"/>
        <v>C009</v>
      </c>
      <c r="B10" s="42" t="s">
        <v>54</v>
      </c>
      <c r="C10" s="22" t="s">
        <v>55</v>
      </c>
      <c r="D10" s="42" t="s">
        <v>56</v>
      </c>
      <c r="E10" s="42" t="s">
        <v>57</v>
      </c>
      <c r="F10" s="22" t="s">
        <v>58</v>
      </c>
      <c r="H10" s="22" t="s">
        <v>59</v>
      </c>
      <c r="I10" s="22" t="s">
        <v>18</v>
      </c>
      <c r="J10" s="42" t="s">
        <v>54</v>
      </c>
      <c r="K10" t="s">
        <v>60</v>
      </c>
    </row>
    <row r="11" spans="1:11" ht="16.5" customHeight="1">
      <c r="A11" s="42" t="str">
        <f t="shared" si="0"/>
        <v>C010</v>
      </c>
      <c r="B11" s="42" t="s">
        <v>54</v>
      </c>
      <c r="C11" s="22" t="s">
        <v>55</v>
      </c>
      <c r="D11" s="42" t="s">
        <v>61</v>
      </c>
      <c r="E11" s="42" t="s">
        <v>62</v>
      </c>
      <c r="F11" s="22" t="s">
        <v>63</v>
      </c>
      <c r="G11" t="s">
        <v>64</v>
      </c>
      <c r="H11" s="22" t="s">
        <v>65</v>
      </c>
      <c r="I11" s="22" t="s">
        <v>18</v>
      </c>
      <c r="J11" s="42" t="s">
        <v>54</v>
      </c>
    </row>
    <row r="12" spans="1:11" ht="16.5" customHeight="1">
      <c r="A12" s="42" t="str">
        <f t="shared" si="0"/>
        <v>C011</v>
      </c>
      <c r="B12" s="42" t="s">
        <v>54</v>
      </c>
      <c r="C12" s="22" t="s">
        <v>55</v>
      </c>
      <c r="D12" s="42" t="s">
        <v>66</v>
      </c>
      <c r="E12" s="42" t="s">
        <v>67</v>
      </c>
      <c r="H12" s="22" t="s">
        <v>68</v>
      </c>
      <c r="I12" s="22" t="s">
        <v>18</v>
      </c>
      <c r="J12" s="42" t="s">
        <v>54</v>
      </c>
    </row>
    <row r="13" spans="1:11" ht="16.5" customHeight="1">
      <c r="A13" s="42" t="str">
        <f t="shared" si="0"/>
        <v>C012</v>
      </c>
      <c r="B13" s="42" t="s">
        <v>54</v>
      </c>
      <c r="C13" s="22" t="s">
        <v>55</v>
      </c>
      <c r="D13" s="42" t="s">
        <v>69</v>
      </c>
      <c r="E13" s="42" t="s">
        <v>70</v>
      </c>
      <c r="H13" s="22" t="s">
        <v>71</v>
      </c>
      <c r="I13" s="22" t="s">
        <v>18</v>
      </c>
      <c r="J13" s="42" t="s">
        <v>54</v>
      </c>
    </row>
    <row r="14" spans="1:11" ht="16.5" customHeight="1">
      <c r="A14" s="42" t="str">
        <f t="shared" si="0"/>
        <v>C013</v>
      </c>
      <c r="B14" s="42" t="s">
        <v>54</v>
      </c>
      <c r="C14" s="22" t="s">
        <v>55</v>
      </c>
      <c r="D14" s="42" t="s">
        <v>72</v>
      </c>
      <c r="E14" s="42" t="s">
        <v>73</v>
      </c>
      <c r="F14" s="22" t="s">
        <v>74</v>
      </c>
      <c r="G14" t="s">
        <v>75</v>
      </c>
      <c r="H14" s="22" t="s">
        <v>76</v>
      </c>
      <c r="I14" s="22" t="s">
        <v>18</v>
      </c>
      <c r="J14" s="42" t="s">
        <v>54</v>
      </c>
    </row>
    <row r="15" spans="1:11" ht="30" customHeight="1">
      <c r="A15" s="42" t="str">
        <f t="shared" si="0"/>
        <v>C014</v>
      </c>
      <c r="B15" s="42" t="s">
        <v>77</v>
      </c>
      <c r="C15" s="22" t="s">
        <v>78</v>
      </c>
      <c r="D15" s="42" t="s">
        <v>79</v>
      </c>
      <c r="E15" s="42" t="s">
        <v>80</v>
      </c>
      <c r="F15" s="22" t="s">
        <v>81</v>
      </c>
      <c r="H15" s="22" t="s">
        <v>82</v>
      </c>
      <c r="I15" s="22" t="s">
        <v>18</v>
      </c>
      <c r="J15" s="42">
        <v>10</v>
      </c>
    </row>
    <row r="16" spans="1:11" ht="16.5" customHeight="1">
      <c r="A16" s="42" t="str">
        <f t="shared" si="0"/>
        <v>C015</v>
      </c>
      <c r="B16" s="42" t="s">
        <v>77</v>
      </c>
      <c r="C16" s="22" t="s">
        <v>78</v>
      </c>
      <c r="D16" s="42" t="s">
        <v>83</v>
      </c>
      <c r="E16" s="42" t="s">
        <v>84</v>
      </c>
      <c r="F16" s="22" t="s">
        <v>85</v>
      </c>
      <c r="G16" t="s">
        <v>86</v>
      </c>
      <c r="H16" s="22" t="s">
        <v>87</v>
      </c>
      <c r="I16" s="22" t="s">
        <v>18</v>
      </c>
      <c r="J16" s="42">
        <v>1</v>
      </c>
    </row>
    <row r="17" spans="1:10" s="62" customFormat="1" ht="24" customHeight="1">
      <c r="A17" s="62" t="str">
        <f t="shared" si="0"/>
        <v>C016</v>
      </c>
      <c r="B17" s="62" t="s">
        <v>77</v>
      </c>
      <c r="C17" s="62" t="s">
        <v>78</v>
      </c>
      <c r="D17" s="62" t="s">
        <v>88</v>
      </c>
      <c r="E17" s="62" t="s">
        <v>89</v>
      </c>
      <c r="F17" s="62" t="s">
        <v>90</v>
      </c>
      <c r="G17" s="62" t="s">
        <v>91</v>
      </c>
      <c r="I17" s="62" t="s">
        <v>18</v>
      </c>
    </row>
    <row r="18" spans="1:10" ht="16.5" customHeight="1">
      <c r="A18" s="42" t="str">
        <f t="shared" si="0"/>
        <v>C017</v>
      </c>
      <c r="B18" s="42" t="str">
        <f>IFERROR(_xlfn.XLOOKUP(C18,Empresas!$B:$B,Empresas!$A:$A),"")</f>
        <v>E040</v>
      </c>
      <c r="C18" s="22" t="s">
        <v>92</v>
      </c>
      <c r="D18" s="42" t="s">
        <v>93</v>
      </c>
      <c r="E18" s="42" t="s">
        <v>94</v>
      </c>
      <c r="F18" s="22" t="s">
        <v>95</v>
      </c>
      <c r="G18" t="s">
        <v>96</v>
      </c>
      <c r="H18" s="22" t="s">
        <v>97</v>
      </c>
      <c r="I18" s="22" t="s">
        <v>18</v>
      </c>
    </row>
    <row r="19" spans="1:10" ht="16.5" customHeight="1">
      <c r="A19" s="42" t="str">
        <f t="shared" si="0"/>
        <v>C018</v>
      </c>
      <c r="B19" s="42" t="str">
        <f>IFERROR(_xlfn.XLOOKUP(C19,Empresas!$B:$B,Empresas!$A:$A),"")</f>
        <v>E040</v>
      </c>
      <c r="C19" s="22" t="s">
        <v>92</v>
      </c>
      <c r="D19" s="42" t="s">
        <v>98</v>
      </c>
      <c r="E19" s="42" t="s">
        <v>99</v>
      </c>
      <c r="F19" s="22" t="s">
        <v>100</v>
      </c>
      <c r="G19" t="s">
        <v>101</v>
      </c>
      <c r="H19" s="22" t="s">
        <v>102</v>
      </c>
      <c r="I19" s="22" t="s">
        <v>18</v>
      </c>
    </row>
    <row r="20" spans="1:10" ht="16.5" customHeight="1">
      <c r="A20" s="42" t="str">
        <f t="shared" si="0"/>
        <v>C019</v>
      </c>
      <c r="B20" s="42" t="str">
        <f>IFERROR(_xlfn.XLOOKUP(C20,Empresas!$B:$B,Empresas!$A:$A),"")</f>
        <v>E040</v>
      </c>
      <c r="C20" s="22" t="s">
        <v>92</v>
      </c>
      <c r="D20" s="42" t="s">
        <v>103</v>
      </c>
      <c r="E20" s="42" t="s">
        <v>104</v>
      </c>
      <c r="F20" s="22" t="s">
        <v>105</v>
      </c>
      <c r="G20" t="s">
        <v>106</v>
      </c>
      <c r="H20" s="22" t="s">
        <v>107</v>
      </c>
      <c r="I20" s="22" t="s">
        <v>18</v>
      </c>
    </row>
    <row r="21" spans="1:10" ht="16.5" customHeight="1">
      <c r="A21" s="42" t="str">
        <f t="shared" si="0"/>
        <v>C020</v>
      </c>
      <c r="B21" s="42" t="str">
        <f>IFERROR(_xlfn.XLOOKUP(C21,Empresas!$B:$B,Empresas!$A:$A),"")</f>
        <v>E040</v>
      </c>
      <c r="C21" s="22" t="s">
        <v>92</v>
      </c>
      <c r="D21" s="42" t="s">
        <v>108</v>
      </c>
      <c r="E21" s="42" t="s">
        <v>109</v>
      </c>
      <c r="F21" s="22" t="s">
        <v>110</v>
      </c>
      <c r="G21" t="s">
        <v>111</v>
      </c>
      <c r="H21" s="22" t="s">
        <v>112</v>
      </c>
      <c r="I21" s="22" t="s">
        <v>18</v>
      </c>
    </row>
    <row r="22" spans="1:10" ht="16.5" customHeight="1">
      <c r="A22" s="42" t="str">
        <f t="shared" si="0"/>
        <v>C021</v>
      </c>
      <c r="B22" s="42" t="s">
        <v>113</v>
      </c>
      <c r="C22" s="22" t="s">
        <v>92</v>
      </c>
      <c r="D22" s="42" t="s">
        <v>114</v>
      </c>
      <c r="E22" s="42" t="s">
        <v>115</v>
      </c>
      <c r="F22" s="49" t="s">
        <v>116</v>
      </c>
      <c r="G22" t="s">
        <v>117</v>
      </c>
      <c r="H22" s="21" t="s">
        <v>118</v>
      </c>
      <c r="I22" s="22" t="s">
        <v>18</v>
      </c>
    </row>
    <row r="23" spans="1:10" ht="16.5" customHeight="1">
      <c r="A23" s="42" t="str">
        <f t="shared" si="0"/>
        <v>C022</v>
      </c>
      <c r="B23" s="42" t="str">
        <f>IFERROR(_xlfn.XLOOKUP(C23,Empresas!$B:$B,Empresas!$A:$A),"")</f>
        <v>E041</v>
      </c>
      <c r="C23" s="22" t="s">
        <v>119</v>
      </c>
      <c r="D23" s="42" t="s">
        <v>120</v>
      </c>
      <c r="E23" s="42" t="s">
        <v>121</v>
      </c>
      <c r="F23" s="21" t="s">
        <v>122</v>
      </c>
      <c r="G23" t="s">
        <v>123</v>
      </c>
      <c r="H23" s="22" t="s">
        <v>124</v>
      </c>
      <c r="I23" s="22" t="s">
        <v>18</v>
      </c>
      <c r="J23" s="42">
        <v>6</v>
      </c>
    </row>
    <row r="24" spans="1:10" ht="16.5" customHeight="1">
      <c r="A24" s="42" t="str">
        <f t="shared" si="0"/>
        <v>C023</v>
      </c>
      <c r="B24" s="42" t="str">
        <f>IFERROR(_xlfn.XLOOKUP(C24,Empresas!$B:$B,Empresas!$A:$A),"")</f>
        <v>E041</v>
      </c>
      <c r="C24" s="56" t="s">
        <v>119</v>
      </c>
      <c r="D24" s="55" t="s">
        <v>125</v>
      </c>
      <c r="E24" s="55" t="s">
        <v>126</v>
      </c>
      <c r="F24" s="56" t="s">
        <v>127</v>
      </c>
      <c r="G24" s="57" t="s">
        <v>128</v>
      </c>
      <c r="H24" s="56" t="s">
        <v>129</v>
      </c>
      <c r="I24" s="56" t="s">
        <v>18</v>
      </c>
      <c r="J24" s="42">
        <v>3</v>
      </c>
    </row>
    <row r="25" spans="1:10" ht="16.5" customHeight="1">
      <c r="A25" s="42" t="str">
        <f t="shared" si="0"/>
        <v>C024</v>
      </c>
      <c r="B25" s="42" t="str">
        <f>IFERROR(_xlfn.XLOOKUP(C25,Empresas!$B:$B,Empresas!$A:$A),"")</f>
        <v>E041</v>
      </c>
      <c r="C25" s="56" t="s">
        <v>119</v>
      </c>
      <c r="D25" s="55" t="s">
        <v>130</v>
      </c>
      <c r="E25" s="55" t="s">
        <v>131</v>
      </c>
      <c r="F25" s="56" t="s">
        <v>132</v>
      </c>
      <c r="G25" s="57" t="s">
        <v>133</v>
      </c>
      <c r="H25" s="56" t="s">
        <v>134</v>
      </c>
      <c r="I25" s="56" t="s">
        <v>18</v>
      </c>
      <c r="J25" s="42">
        <v>3</v>
      </c>
    </row>
    <row r="26" spans="1:10" ht="16.5" customHeight="1">
      <c r="A26" s="42" t="str">
        <f t="shared" si="0"/>
        <v>C025</v>
      </c>
      <c r="B26" s="42" t="str">
        <f>IFERROR(_xlfn.XLOOKUP(C26,Empresas!$B:$B,Empresas!$A:$A),"")</f>
        <v>E042</v>
      </c>
      <c r="C26" s="22" t="s">
        <v>135</v>
      </c>
      <c r="D26" s="42" t="s">
        <v>136</v>
      </c>
      <c r="E26" s="42" t="s">
        <v>137</v>
      </c>
      <c r="F26" s="22" t="s">
        <v>138</v>
      </c>
      <c r="G26" t="s">
        <v>139</v>
      </c>
      <c r="H26" s="22" t="s">
        <v>140</v>
      </c>
      <c r="I26" s="22" t="s">
        <v>18</v>
      </c>
      <c r="J26" s="42">
        <v>3</v>
      </c>
    </row>
    <row r="27" spans="1:10" ht="16.5" customHeight="1">
      <c r="A27" s="42" t="str">
        <f t="shared" si="0"/>
        <v>C026</v>
      </c>
      <c r="B27" s="42" t="str">
        <f>IFERROR(_xlfn.XLOOKUP(C27,Empresas!$B:$B,Empresas!$A:$A),"")</f>
        <v>E042</v>
      </c>
      <c r="C27" s="22" t="s">
        <v>135</v>
      </c>
      <c r="D27" s="42" t="s">
        <v>141</v>
      </c>
      <c r="E27" s="42" t="s">
        <v>142</v>
      </c>
      <c r="F27" s="22" t="s">
        <v>143</v>
      </c>
      <c r="G27" t="s">
        <v>144</v>
      </c>
      <c r="H27" s="22" t="s">
        <v>145</v>
      </c>
      <c r="I27" s="22" t="s">
        <v>18</v>
      </c>
      <c r="J27" s="42">
        <v>2</v>
      </c>
    </row>
    <row r="28" spans="1:10" ht="16.5" customHeight="1">
      <c r="A28" s="42" t="str">
        <f t="shared" si="0"/>
        <v>C027</v>
      </c>
      <c r="B28" s="42" t="str">
        <f>IFERROR(_xlfn.XLOOKUP(C28,Empresas!$B:$B,Empresas!$A:$A),"")</f>
        <v>E042</v>
      </c>
      <c r="C28" s="22" t="s">
        <v>135</v>
      </c>
      <c r="D28" s="42" t="s">
        <v>146</v>
      </c>
      <c r="E28" s="42" t="s">
        <v>147</v>
      </c>
      <c r="F28" s="22" t="s">
        <v>148</v>
      </c>
      <c r="G28" t="s">
        <v>149</v>
      </c>
      <c r="H28" s="22" t="s">
        <v>150</v>
      </c>
      <c r="I28" s="22" t="s">
        <v>18</v>
      </c>
      <c r="J28" s="42">
        <v>6</v>
      </c>
    </row>
    <row r="29" spans="1:10" ht="16.5" customHeight="1">
      <c r="A29" s="42" t="str">
        <f t="shared" si="0"/>
        <v>C028</v>
      </c>
      <c r="B29" s="42" t="str">
        <f>IFERROR(_xlfn.XLOOKUP(C29,Empresas!$B:$B,Empresas!$A:$A),"")</f>
        <v>E043</v>
      </c>
      <c r="C29" s="22" t="s">
        <v>151</v>
      </c>
      <c r="D29" s="42" t="s">
        <v>152</v>
      </c>
      <c r="E29" s="42" t="s">
        <v>153</v>
      </c>
      <c r="F29" s="22" t="s">
        <v>154</v>
      </c>
      <c r="G29" t="s">
        <v>155</v>
      </c>
      <c r="H29" s="22" t="s">
        <v>156</v>
      </c>
      <c r="I29" s="22" t="s">
        <v>18</v>
      </c>
      <c r="J29" s="42">
        <v>5</v>
      </c>
    </row>
    <row r="30" spans="1:10" ht="16.5" customHeight="1">
      <c r="A30" s="42" t="str">
        <f t="shared" si="0"/>
        <v>C029</v>
      </c>
      <c r="B30" s="42" t="s">
        <v>157</v>
      </c>
      <c r="C30" s="22" t="s">
        <v>151</v>
      </c>
      <c r="D30" s="42" t="s">
        <v>158</v>
      </c>
      <c r="F30" s="22" t="s">
        <v>159</v>
      </c>
      <c r="G30" t="s">
        <v>160</v>
      </c>
      <c r="I30" s="22" t="s">
        <v>18</v>
      </c>
      <c r="J30" s="22">
        <v>4</v>
      </c>
    </row>
    <row r="31" spans="1:10" ht="16.5" customHeight="1">
      <c r="A31" s="42" t="str">
        <f t="shared" si="0"/>
        <v>C030</v>
      </c>
      <c r="B31" s="42" t="str">
        <f>IFERROR(_xlfn.XLOOKUP(C31,Empresas!$B:$B,Empresas!$A:$A),"")</f>
        <v>E043</v>
      </c>
      <c r="C31" s="22" t="s">
        <v>151</v>
      </c>
      <c r="D31" s="42" t="s">
        <v>161</v>
      </c>
      <c r="E31" s="42" t="s">
        <v>162</v>
      </c>
      <c r="F31" s="22" t="s">
        <v>163</v>
      </c>
      <c r="H31" s="22" t="s">
        <v>164</v>
      </c>
      <c r="I31" s="22" t="s">
        <v>18</v>
      </c>
      <c r="J31" s="42">
        <v>4</v>
      </c>
    </row>
    <row r="32" spans="1:10" ht="16.5" customHeight="1">
      <c r="A32" s="42" t="str">
        <f t="shared" si="0"/>
        <v>C031</v>
      </c>
      <c r="B32" s="42" t="s">
        <v>165</v>
      </c>
      <c r="C32" s="22" t="s">
        <v>166</v>
      </c>
      <c r="D32" s="42" t="s">
        <v>167</v>
      </c>
      <c r="E32" s="42" t="s">
        <v>168</v>
      </c>
      <c r="F32" s="22" t="s">
        <v>169</v>
      </c>
      <c r="G32" t="s">
        <v>170</v>
      </c>
      <c r="H32" s="22" t="s">
        <v>171</v>
      </c>
      <c r="I32" s="22" t="s">
        <v>18</v>
      </c>
      <c r="J32" s="42">
        <v>8</v>
      </c>
    </row>
    <row r="33" spans="1:10" ht="16.5" customHeight="1">
      <c r="A33" s="42" t="str">
        <f t="shared" si="0"/>
        <v>C032</v>
      </c>
      <c r="B33" s="42" t="s">
        <v>165</v>
      </c>
      <c r="C33" s="22" t="s">
        <v>166</v>
      </c>
      <c r="D33" s="61" t="s">
        <v>172</v>
      </c>
      <c r="E33" s="61" t="s">
        <v>173</v>
      </c>
      <c r="F33" s="62" t="s">
        <v>174</v>
      </c>
      <c r="G33" s="63" t="s">
        <v>175</v>
      </c>
      <c r="H33" s="62" t="s">
        <v>176</v>
      </c>
      <c r="I33" s="62" t="s">
        <v>18</v>
      </c>
      <c r="J33" s="42" t="s">
        <v>54</v>
      </c>
    </row>
    <row r="34" spans="1:10" ht="16.5" customHeight="1">
      <c r="A34" s="42" t="str">
        <f t="shared" ref="A34:A65" si="1">_xlfn.CONCAT("C",TEXT(ROW()-1,"000"))</f>
        <v>C033</v>
      </c>
      <c r="B34" s="42" t="s">
        <v>165</v>
      </c>
      <c r="C34" s="22" t="s">
        <v>166</v>
      </c>
      <c r="D34" s="42" t="s">
        <v>177</v>
      </c>
      <c r="E34" s="42" t="s">
        <v>178</v>
      </c>
      <c r="F34" s="22" t="s">
        <v>179</v>
      </c>
      <c r="H34" s="22" t="s">
        <v>180</v>
      </c>
    </row>
    <row r="35" spans="1:10" ht="16.5" customHeight="1">
      <c r="A35" s="42" t="str">
        <f t="shared" si="1"/>
        <v>C034</v>
      </c>
      <c r="B35" s="42" t="s">
        <v>165</v>
      </c>
      <c r="C35" s="22" t="s">
        <v>166</v>
      </c>
      <c r="D35" s="42" t="s">
        <v>181</v>
      </c>
      <c r="E35" s="42" t="s">
        <v>182</v>
      </c>
      <c r="F35" s="22" t="s">
        <v>183</v>
      </c>
      <c r="H35" s="22" t="s">
        <v>184</v>
      </c>
    </row>
    <row r="36" spans="1:10" ht="16.5" customHeight="1">
      <c r="A36" s="42" t="str">
        <f t="shared" si="1"/>
        <v>C035</v>
      </c>
      <c r="B36" s="42" t="s">
        <v>185</v>
      </c>
      <c r="C36" s="22" t="s">
        <v>186</v>
      </c>
      <c r="D36" s="42" t="s">
        <v>187</v>
      </c>
      <c r="E36" s="42" t="s">
        <v>188</v>
      </c>
      <c r="F36" s="22" t="s">
        <v>189</v>
      </c>
      <c r="G36" t="s">
        <v>190</v>
      </c>
      <c r="H36" s="22" t="s">
        <v>191</v>
      </c>
      <c r="I36" s="22" t="s">
        <v>18</v>
      </c>
    </row>
    <row r="37" spans="1:10" ht="16.5" customHeight="1">
      <c r="A37" s="42" t="str">
        <f t="shared" si="1"/>
        <v>C036</v>
      </c>
      <c r="B37" s="42" t="s">
        <v>185</v>
      </c>
      <c r="C37" s="22" t="s">
        <v>186</v>
      </c>
      <c r="D37" s="42" t="s">
        <v>192</v>
      </c>
      <c r="E37" s="42" t="s">
        <v>193</v>
      </c>
      <c r="F37" s="22" t="s">
        <v>194</v>
      </c>
    </row>
    <row r="38" spans="1:10" ht="16.5" customHeight="1">
      <c r="A38" s="42" t="str">
        <f t="shared" si="1"/>
        <v>C037</v>
      </c>
      <c r="B38" s="42" t="s">
        <v>195</v>
      </c>
      <c r="C38" s="22" t="s">
        <v>196</v>
      </c>
      <c r="D38" s="42" t="s">
        <v>197</v>
      </c>
      <c r="E38" s="42" t="s">
        <v>198</v>
      </c>
      <c r="F38" s="22" t="s">
        <v>199</v>
      </c>
      <c r="H38" s="22" t="s">
        <v>200</v>
      </c>
    </row>
    <row r="39" spans="1:10" ht="16.5" customHeight="1">
      <c r="A39" s="42" t="str">
        <f t="shared" si="1"/>
        <v>C038</v>
      </c>
      <c r="B39" s="42" t="s">
        <v>195</v>
      </c>
      <c r="C39" s="22" t="s">
        <v>196</v>
      </c>
      <c r="D39" s="42" t="s">
        <v>201</v>
      </c>
      <c r="E39" s="42" t="s">
        <v>202</v>
      </c>
      <c r="F39" s="22" t="s">
        <v>203</v>
      </c>
      <c r="H39" s="22" t="s">
        <v>204</v>
      </c>
    </row>
    <row r="40" spans="1:10" ht="16.5" customHeight="1">
      <c r="A40" s="42" t="str">
        <f t="shared" si="1"/>
        <v>C039</v>
      </c>
      <c r="B40" s="42" t="s">
        <v>205</v>
      </c>
      <c r="C40" s="22" t="s">
        <v>206</v>
      </c>
      <c r="D40" s="42" t="s">
        <v>207</v>
      </c>
      <c r="E40" s="42" t="s">
        <v>208</v>
      </c>
      <c r="F40" s="22" t="s">
        <v>209</v>
      </c>
      <c r="H40" s="22" t="s">
        <v>210</v>
      </c>
      <c r="I40" s="22" t="s">
        <v>18</v>
      </c>
    </row>
    <row r="41" spans="1:10" ht="16.5" customHeight="1">
      <c r="A41" s="42" t="str">
        <f t="shared" si="1"/>
        <v>C040</v>
      </c>
      <c r="B41" s="42" t="s">
        <v>205</v>
      </c>
      <c r="C41" s="22" t="s">
        <v>206</v>
      </c>
      <c r="D41" s="42" t="s">
        <v>211</v>
      </c>
      <c r="E41" s="42" t="s">
        <v>212</v>
      </c>
      <c r="F41" s="22" t="s">
        <v>213</v>
      </c>
      <c r="H41" s="22" t="s">
        <v>214</v>
      </c>
      <c r="I41" s="22" t="s">
        <v>18</v>
      </c>
    </row>
    <row r="42" spans="1:10" ht="16.5" customHeight="1">
      <c r="A42" s="42" t="str">
        <f t="shared" si="1"/>
        <v>C041</v>
      </c>
      <c r="B42" s="42" t="s">
        <v>205</v>
      </c>
      <c r="C42" s="22" t="s">
        <v>206</v>
      </c>
      <c r="D42" s="42" t="s">
        <v>215</v>
      </c>
      <c r="E42" s="42" t="s">
        <v>216</v>
      </c>
      <c r="H42" s="22" t="s">
        <v>217</v>
      </c>
    </row>
    <row r="43" spans="1:10" ht="16.5" customHeight="1">
      <c r="A43" s="42" t="str">
        <f t="shared" si="1"/>
        <v>C042</v>
      </c>
      <c r="B43" s="42" t="s">
        <v>205</v>
      </c>
      <c r="C43" s="22" t="s">
        <v>206</v>
      </c>
      <c r="D43" s="42" t="s">
        <v>218</v>
      </c>
      <c r="E43" s="42" t="s">
        <v>219</v>
      </c>
      <c r="H43" s="22" t="s">
        <v>220</v>
      </c>
    </row>
    <row r="44" spans="1:10" ht="16.5" customHeight="1">
      <c r="A44" s="42" t="str">
        <f t="shared" si="1"/>
        <v>C043</v>
      </c>
      <c r="B44" s="42" t="s">
        <v>221</v>
      </c>
      <c r="C44" s="22" t="s">
        <v>222</v>
      </c>
      <c r="D44" s="42" t="s">
        <v>223</v>
      </c>
      <c r="E44" s="42" t="s">
        <v>224</v>
      </c>
      <c r="F44" s="22" t="s">
        <v>225</v>
      </c>
      <c r="G44" t="s">
        <v>226</v>
      </c>
      <c r="H44" s="22" t="s">
        <v>227</v>
      </c>
    </row>
    <row r="45" spans="1:10" ht="16.5" customHeight="1">
      <c r="A45" s="42" t="str">
        <f t="shared" si="1"/>
        <v>C044</v>
      </c>
      <c r="B45" s="42" t="s">
        <v>221</v>
      </c>
      <c r="C45" s="22" t="s">
        <v>222</v>
      </c>
      <c r="D45" s="42" t="s">
        <v>228</v>
      </c>
      <c r="E45" s="42" t="s">
        <v>229</v>
      </c>
      <c r="F45" s="22" t="s">
        <v>230</v>
      </c>
      <c r="G45" t="s">
        <v>231</v>
      </c>
      <c r="H45" s="22" t="s">
        <v>232</v>
      </c>
    </row>
    <row r="46" spans="1:10" ht="16.5" customHeight="1">
      <c r="A46" s="42" t="str">
        <f t="shared" si="1"/>
        <v>C045</v>
      </c>
      <c r="B46" s="42" t="s">
        <v>221</v>
      </c>
      <c r="C46" s="22" t="s">
        <v>222</v>
      </c>
      <c r="D46" s="42" t="s">
        <v>233</v>
      </c>
      <c r="E46" s="42" t="s">
        <v>178</v>
      </c>
      <c r="F46" s="22" t="s">
        <v>234</v>
      </c>
      <c r="G46" t="s">
        <v>235</v>
      </c>
      <c r="H46" s="22" t="s">
        <v>236</v>
      </c>
    </row>
    <row r="47" spans="1:10" ht="16.5" customHeight="1">
      <c r="A47" s="42" t="str">
        <f t="shared" si="1"/>
        <v>C046</v>
      </c>
      <c r="B47" s="42" t="s">
        <v>54</v>
      </c>
      <c r="C47" s="22" t="s">
        <v>237</v>
      </c>
      <c r="D47" s="42" t="s">
        <v>238</v>
      </c>
      <c r="E47" s="42" t="s">
        <v>239</v>
      </c>
      <c r="F47" s="22" t="s">
        <v>240</v>
      </c>
      <c r="G47" t="s">
        <v>241</v>
      </c>
      <c r="H47" s="22" t="s">
        <v>242</v>
      </c>
    </row>
    <row r="48" spans="1:10" ht="16.5" customHeight="1">
      <c r="A48" s="42" t="str">
        <f t="shared" si="1"/>
        <v>C047</v>
      </c>
      <c r="B48" s="42" t="s">
        <v>54</v>
      </c>
      <c r="C48" s="22" t="s">
        <v>237</v>
      </c>
      <c r="D48" s="42" t="s">
        <v>243</v>
      </c>
      <c r="E48" s="42" t="s">
        <v>244</v>
      </c>
      <c r="F48" s="22" t="s">
        <v>245</v>
      </c>
      <c r="H48" s="22" t="s">
        <v>246</v>
      </c>
    </row>
    <row r="49" spans="1:9" ht="16.5" customHeight="1">
      <c r="A49" s="42" t="str">
        <f t="shared" si="1"/>
        <v>C048</v>
      </c>
      <c r="B49" s="42" t="s">
        <v>54</v>
      </c>
      <c r="C49" s="22" t="s">
        <v>237</v>
      </c>
      <c r="D49" s="42" t="s">
        <v>247</v>
      </c>
      <c r="E49" s="42" t="s">
        <v>219</v>
      </c>
      <c r="F49" s="22" t="s">
        <v>248</v>
      </c>
      <c r="G49" t="s">
        <v>249</v>
      </c>
      <c r="H49" s="22" t="s">
        <v>250</v>
      </c>
    </row>
    <row r="50" spans="1:9" ht="16.5" customHeight="1">
      <c r="A50" s="42" t="str">
        <f t="shared" si="1"/>
        <v>C049</v>
      </c>
      <c r="B50" s="42" t="s">
        <v>54</v>
      </c>
      <c r="C50" s="22" t="s">
        <v>237</v>
      </c>
      <c r="D50" s="42" t="s">
        <v>251</v>
      </c>
      <c r="E50" s="42" t="s">
        <v>252</v>
      </c>
      <c r="F50" s="22" t="s">
        <v>253</v>
      </c>
      <c r="G50" t="s">
        <v>254</v>
      </c>
      <c r="H50" s="22" t="s">
        <v>255</v>
      </c>
    </row>
    <row r="51" spans="1:9" ht="16.5" customHeight="1">
      <c r="A51" s="42" t="str">
        <f t="shared" si="1"/>
        <v>C050</v>
      </c>
      <c r="B51" s="42" t="s">
        <v>256</v>
      </c>
      <c r="C51" s="22" t="s">
        <v>35</v>
      </c>
      <c r="D51" s="42" t="s">
        <v>257</v>
      </c>
      <c r="E51" s="42" t="s">
        <v>224</v>
      </c>
      <c r="F51" s="22" t="s">
        <v>258</v>
      </c>
      <c r="G51" t="s">
        <v>259</v>
      </c>
      <c r="H51" s="22" t="s">
        <v>260</v>
      </c>
    </row>
    <row r="52" spans="1:9" ht="27" customHeight="1">
      <c r="A52" s="42" t="str">
        <f t="shared" si="1"/>
        <v>C051</v>
      </c>
      <c r="B52" s="42" t="s">
        <v>261</v>
      </c>
      <c r="C52" s="62" t="s">
        <v>262</v>
      </c>
      <c r="D52" s="61" t="s">
        <v>263</v>
      </c>
      <c r="E52" s="61" t="s">
        <v>126</v>
      </c>
      <c r="F52" s="62" t="s">
        <v>264</v>
      </c>
      <c r="G52" s="63" t="s">
        <v>265</v>
      </c>
      <c r="H52" s="62" t="s">
        <v>266</v>
      </c>
      <c r="I52" s="22" t="s">
        <v>18</v>
      </c>
    </row>
    <row r="53" spans="1:9" ht="16.5" customHeight="1">
      <c r="A53" s="42" t="str">
        <f t="shared" si="1"/>
        <v>C052</v>
      </c>
      <c r="B53" s="42" t="s">
        <v>261</v>
      </c>
      <c r="C53" s="22" t="s">
        <v>262</v>
      </c>
      <c r="D53" s="42" t="s">
        <v>267</v>
      </c>
      <c r="E53" s="42" t="s">
        <v>268</v>
      </c>
      <c r="F53" s="22" t="s">
        <v>269</v>
      </c>
      <c r="H53" s="22" t="s">
        <v>270</v>
      </c>
    </row>
    <row r="54" spans="1:9" ht="16.5" customHeight="1">
      <c r="A54" s="42" t="str">
        <f t="shared" si="1"/>
        <v>C053</v>
      </c>
      <c r="B54" s="42" t="s">
        <v>271</v>
      </c>
      <c r="C54" s="22" t="s">
        <v>272</v>
      </c>
      <c r="D54" s="42" t="s">
        <v>273</v>
      </c>
      <c r="E54" s="42" t="s">
        <v>274</v>
      </c>
      <c r="F54" s="22" t="s">
        <v>275</v>
      </c>
      <c r="H54" s="22" t="s">
        <v>276</v>
      </c>
    </row>
    <row r="55" spans="1:9" ht="16.5" customHeight="1">
      <c r="A55" s="42" t="str">
        <f t="shared" si="1"/>
        <v>C054</v>
      </c>
      <c r="B55" s="42" t="s">
        <v>54</v>
      </c>
      <c r="C55" s="22" t="s">
        <v>277</v>
      </c>
      <c r="D55" s="42" t="s">
        <v>278</v>
      </c>
      <c r="F55" s="22" t="s">
        <v>279</v>
      </c>
      <c r="H55" s="22" t="s">
        <v>280</v>
      </c>
      <c r="I55" s="22" t="s">
        <v>18</v>
      </c>
    </row>
    <row r="56" spans="1:9" ht="16.5" customHeight="1">
      <c r="A56" s="42" t="str">
        <f t="shared" si="1"/>
        <v>C055</v>
      </c>
      <c r="B56" s="42" t="s">
        <v>54</v>
      </c>
      <c r="C56" s="22" t="s">
        <v>277</v>
      </c>
      <c r="D56" s="42" t="s">
        <v>281</v>
      </c>
      <c r="E56" s="42" t="s">
        <v>282</v>
      </c>
      <c r="G56" t="s">
        <v>283</v>
      </c>
      <c r="H56" s="22" t="s">
        <v>284</v>
      </c>
      <c r="I56" s="22" t="s">
        <v>18</v>
      </c>
    </row>
    <row r="57" spans="1:9" ht="16.5" customHeight="1">
      <c r="A57" s="42" t="str">
        <f t="shared" si="1"/>
        <v>C056</v>
      </c>
      <c r="B57" s="42" t="s">
        <v>54</v>
      </c>
      <c r="C57" s="22" t="s">
        <v>277</v>
      </c>
      <c r="D57" s="42" t="s">
        <v>285</v>
      </c>
      <c r="E57" s="42" t="s">
        <v>173</v>
      </c>
      <c r="F57" s="22" t="s">
        <v>286</v>
      </c>
      <c r="H57" s="22" t="s">
        <v>287</v>
      </c>
      <c r="I57" s="22" t="s">
        <v>18</v>
      </c>
    </row>
    <row r="58" spans="1:9" ht="16.5" customHeight="1">
      <c r="A58" s="42" t="str">
        <f t="shared" si="1"/>
        <v>C057</v>
      </c>
      <c r="B58" s="42" t="s">
        <v>54</v>
      </c>
      <c r="C58" s="22" t="s">
        <v>277</v>
      </c>
      <c r="D58" s="42" t="s">
        <v>288</v>
      </c>
      <c r="E58" s="42" t="s">
        <v>289</v>
      </c>
      <c r="F58" s="22" t="s">
        <v>290</v>
      </c>
      <c r="G58" t="s">
        <v>291</v>
      </c>
    </row>
    <row r="59" spans="1:9" ht="16.5" customHeight="1">
      <c r="A59" s="42" t="str">
        <f t="shared" si="1"/>
        <v>C058</v>
      </c>
      <c r="B59" s="42" t="s">
        <v>292</v>
      </c>
      <c r="C59" s="22" t="s">
        <v>293</v>
      </c>
      <c r="D59" s="42" t="s">
        <v>294</v>
      </c>
      <c r="E59" s="42" t="s">
        <v>295</v>
      </c>
      <c r="H59" s="22" t="s">
        <v>296</v>
      </c>
    </row>
    <row r="60" spans="1:9" ht="16.5" customHeight="1">
      <c r="A60" s="42" t="str">
        <f t="shared" si="1"/>
        <v>C059</v>
      </c>
      <c r="B60" s="42" t="s">
        <v>54</v>
      </c>
      <c r="C60" s="22" t="s">
        <v>297</v>
      </c>
      <c r="D60" s="42" t="s">
        <v>298</v>
      </c>
      <c r="E60" s="42" t="s">
        <v>299</v>
      </c>
      <c r="F60" s="22" t="s">
        <v>300</v>
      </c>
      <c r="G60" t="s">
        <v>301</v>
      </c>
      <c r="H60" s="22" t="s">
        <v>302</v>
      </c>
      <c r="I60" s="22" t="s">
        <v>18</v>
      </c>
    </row>
    <row r="61" spans="1:9" ht="16.5" customHeight="1">
      <c r="A61" s="42" t="str">
        <f t="shared" si="1"/>
        <v>C060</v>
      </c>
      <c r="B61" s="42" t="s">
        <v>54</v>
      </c>
      <c r="C61" s="22" t="s">
        <v>297</v>
      </c>
      <c r="D61" s="42" t="s">
        <v>303</v>
      </c>
      <c r="E61" s="42" t="s">
        <v>304</v>
      </c>
      <c r="F61" s="22" t="s">
        <v>305</v>
      </c>
      <c r="G61" t="s">
        <v>306</v>
      </c>
      <c r="H61" s="22" t="s">
        <v>307</v>
      </c>
    </row>
    <row r="62" spans="1:9" ht="16.5" customHeight="1">
      <c r="A62" s="42" t="str">
        <f t="shared" si="1"/>
        <v>C061</v>
      </c>
      <c r="B62" s="42" t="s">
        <v>54</v>
      </c>
      <c r="C62" s="22" t="s">
        <v>308</v>
      </c>
      <c r="D62" s="42" t="s">
        <v>309</v>
      </c>
      <c r="G62" t="s">
        <v>310</v>
      </c>
    </row>
    <row r="63" spans="1:9" ht="16.5" customHeight="1">
      <c r="A63" s="42" t="str">
        <f t="shared" si="1"/>
        <v>C062</v>
      </c>
      <c r="B63" s="42" t="s">
        <v>311</v>
      </c>
      <c r="C63" s="22" t="s">
        <v>78</v>
      </c>
      <c r="D63" s="42" t="s">
        <v>312</v>
      </c>
      <c r="E63" s="42" t="s">
        <v>313</v>
      </c>
      <c r="F63" s="22" t="s">
        <v>314</v>
      </c>
      <c r="H63" s="22" t="s">
        <v>315</v>
      </c>
    </row>
    <row r="64" spans="1:9" ht="16.5" customHeight="1">
      <c r="A64" s="42" t="str">
        <f t="shared" si="1"/>
        <v>C063</v>
      </c>
      <c r="B64" s="42" t="s">
        <v>316</v>
      </c>
      <c r="C64" s="22" t="s">
        <v>317</v>
      </c>
      <c r="D64" s="42" t="s">
        <v>318</v>
      </c>
      <c r="E64" s="42" t="s">
        <v>319</v>
      </c>
      <c r="F64" s="22" t="s">
        <v>320</v>
      </c>
      <c r="G64" t="s">
        <v>321</v>
      </c>
      <c r="H64" s="22" t="s">
        <v>322</v>
      </c>
    </row>
    <row r="65" spans="1:11" ht="16.5" customHeight="1">
      <c r="A65" s="42" t="str">
        <f t="shared" si="1"/>
        <v>C064</v>
      </c>
      <c r="B65" s="42" t="s">
        <v>316</v>
      </c>
      <c r="C65" s="22" t="s">
        <v>317</v>
      </c>
      <c r="D65" s="42" t="s">
        <v>323</v>
      </c>
      <c r="E65" s="42" t="s">
        <v>324</v>
      </c>
      <c r="F65" s="22" t="s">
        <v>325</v>
      </c>
      <c r="H65" s="22" t="s">
        <v>326</v>
      </c>
      <c r="I65" s="22" t="s">
        <v>18</v>
      </c>
      <c r="J65" s="42">
        <v>2</v>
      </c>
    </row>
    <row r="66" spans="1:11" ht="16.5" customHeight="1">
      <c r="A66" s="42" t="str">
        <f t="shared" ref="A66:A97" si="2">_xlfn.CONCAT("C",TEXT(ROW()-1,"000"))</f>
        <v>C065</v>
      </c>
      <c r="B66" s="42" t="s">
        <v>327</v>
      </c>
      <c r="C66" s="22" t="s">
        <v>328</v>
      </c>
      <c r="D66" s="42" t="s">
        <v>329</v>
      </c>
      <c r="E66" s="42" t="s">
        <v>330</v>
      </c>
      <c r="F66" s="22" t="s">
        <v>331</v>
      </c>
      <c r="G66" t="s">
        <v>332</v>
      </c>
      <c r="H66" s="22" t="s">
        <v>333</v>
      </c>
    </row>
    <row r="67" spans="1:11" ht="16.5" customHeight="1">
      <c r="A67" s="42" t="str">
        <f t="shared" si="2"/>
        <v>C066</v>
      </c>
      <c r="B67" s="42" t="s">
        <v>327</v>
      </c>
      <c r="C67" s="22" t="s">
        <v>328</v>
      </c>
      <c r="D67" s="42" t="s">
        <v>334</v>
      </c>
      <c r="E67" s="42" t="s">
        <v>335</v>
      </c>
      <c r="F67" s="22" t="s">
        <v>336</v>
      </c>
      <c r="G67" t="s">
        <v>337</v>
      </c>
      <c r="H67" s="22" t="s">
        <v>338</v>
      </c>
      <c r="I67" s="22" t="s">
        <v>18</v>
      </c>
    </row>
    <row r="68" spans="1:11" ht="16.5" customHeight="1">
      <c r="A68" s="42" t="str">
        <f t="shared" si="2"/>
        <v>C067</v>
      </c>
      <c r="B68" s="42" t="s">
        <v>339</v>
      </c>
      <c r="C68" s="22" t="s">
        <v>340</v>
      </c>
      <c r="D68" s="42" t="s">
        <v>341</v>
      </c>
      <c r="E68" s="42" t="s">
        <v>268</v>
      </c>
      <c r="F68" s="22" t="s">
        <v>342</v>
      </c>
      <c r="H68" s="22" t="s">
        <v>343</v>
      </c>
    </row>
    <row r="69" spans="1:11" ht="16.5" customHeight="1">
      <c r="A69" s="42" t="str">
        <f t="shared" si="2"/>
        <v>C068</v>
      </c>
      <c r="B69" s="42" t="s">
        <v>344</v>
      </c>
      <c r="C69" s="22" t="s">
        <v>345</v>
      </c>
      <c r="D69" s="42" t="s">
        <v>346</v>
      </c>
      <c r="E69" s="42" t="s">
        <v>347</v>
      </c>
      <c r="F69" s="22" t="s">
        <v>348</v>
      </c>
      <c r="H69" s="22" t="s">
        <v>349</v>
      </c>
    </row>
    <row r="70" spans="1:11" ht="16.5" customHeight="1">
      <c r="A70" s="42" t="str">
        <f t="shared" si="2"/>
        <v>C069</v>
      </c>
      <c r="B70" s="42" t="s">
        <v>344</v>
      </c>
      <c r="C70" s="22" t="s">
        <v>345</v>
      </c>
      <c r="D70" s="42" t="s">
        <v>350</v>
      </c>
      <c r="E70" s="42" t="s">
        <v>351</v>
      </c>
      <c r="F70" s="22" t="s">
        <v>352</v>
      </c>
      <c r="H70" s="22" t="s">
        <v>353</v>
      </c>
    </row>
    <row r="71" spans="1:11" ht="16.5" customHeight="1">
      <c r="A71" s="42" t="str">
        <f t="shared" si="2"/>
        <v>C070</v>
      </c>
      <c r="B71" s="42" t="s">
        <v>54</v>
      </c>
      <c r="C71" s="22" t="s">
        <v>354</v>
      </c>
      <c r="D71" s="42" t="s">
        <v>355</v>
      </c>
      <c r="E71" s="42" t="s">
        <v>356</v>
      </c>
      <c r="F71" s="22" t="s">
        <v>357</v>
      </c>
      <c r="G71" t="s">
        <v>358</v>
      </c>
      <c r="H71" s="22" t="s">
        <v>359</v>
      </c>
      <c r="I71" s="22" t="s">
        <v>18</v>
      </c>
    </row>
    <row r="72" spans="1:11" ht="16.5" customHeight="1">
      <c r="A72" s="42" t="str">
        <f t="shared" si="2"/>
        <v>C071</v>
      </c>
      <c r="B72" s="42" t="s">
        <v>54</v>
      </c>
      <c r="C72" s="22" t="s">
        <v>354</v>
      </c>
      <c r="D72" s="42" t="s">
        <v>360</v>
      </c>
      <c r="E72" s="42" t="s">
        <v>361</v>
      </c>
      <c r="F72" s="22" t="s">
        <v>362</v>
      </c>
      <c r="G72" t="s">
        <v>363</v>
      </c>
      <c r="H72" s="22" t="s">
        <v>364</v>
      </c>
      <c r="I72" s="22" t="s">
        <v>18</v>
      </c>
    </row>
    <row r="73" spans="1:11" ht="16.5" customHeight="1">
      <c r="A73" s="42" t="str">
        <f t="shared" si="2"/>
        <v>C072</v>
      </c>
      <c r="B73" s="42" t="s">
        <v>54</v>
      </c>
      <c r="C73" s="22" t="s">
        <v>354</v>
      </c>
      <c r="D73" s="42" t="s">
        <v>360</v>
      </c>
      <c r="E73" s="42" t="s">
        <v>224</v>
      </c>
      <c r="F73" s="22" t="s">
        <v>362</v>
      </c>
      <c r="G73" t="s">
        <v>365</v>
      </c>
    </row>
    <row r="74" spans="1:11" ht="16.5" customHeight="1">
      <c r="A74" s="42" t="str">
        <f t="shared" si="2"/>
        <v>C073</v>
      </c>
      <c r="B74" s="42" t="s">
        <v>54</v>
      </c>
      <c r="C74" s="22" t="s">
        <v>354</v>
      </c>
      <c r="D74" s="42" t="s">
        <v>366</v>
      </c>
      <c r="E74" s="42" t="s">
        <v>367</v>
      </c>
      <c r="F74" s="22" t="s">
        <v>368</v>
      </c>
      <c r="G74" t="s">
        <v>369</v>
      </c>
    </row>
    <row r="75" spans="1:11" ht="16.5" customHeight="1">
      <c r="A75" s="42" t="str">
        <f t="shared" si="2"/>
        <v>C074</v>
      </c>
      <c r="B75" s="42" t="s">
        <v>54</v>
      </c>
      <c r="C75" s="22" t="s">
        <v>370</v>
      </c>
      <c r="D75" s="42" t="s">
        <v>309</v>
      </c>
      <c r="F75" s="22" t="s">
        <v>371</v>
      </c>
      <c r="G75" t="s">
        <v>372</v>
      </c>
    </row>
    <row r="76" spans="1:11" ht="16.5" customHeight="1">
      <c r="A76" s="42" t="str">
        <f t="shared" si="2"/>
        <v>C075</v>
      </c>
      <c r="B76" s="42" t="s">
        <v>54</v>
      </c>
      <c r="C76" s="22" t="s">
        <v>373</v>
      </c>
      <c r="D76" s="42" t="s">
        <v>309</v>
      </c>
      <c r="F76" s="22" t="s">
        <v>374</v>
      </c>
    </row>
    <row r="77" spans="1:11" ht="16.5" customHeight="1">
      <c r="A77" s="42" t="str">
        <f t="shared" si="2"/>
        <v>C076</v>
      </c>
      <c r="B77" s="55" t="s">
        <v>375</v>
      </c>
      <c r="C77" s="56" t="s">
        <v>376</v>
      </c>
      <c r="D77" s="55" t="s">
        <v>377</v>
      </c>
      <c r="E77" s="55" t="s">
        <v>361</v>
      </c>
      <c r="F77" s="56" t="s">
        <v>378</v>
      </c>
      <c r="G77" s="57" t="s">
        <v>379</v>
      </c>
      <c r="H77" s="56"/>
      <c r="I77" s="56" t="s">
        <v>18</v>
      </c>
      <c r="J77" s="55">
        <v>4</v>
      </c>
    </row>
    <row r="78" spans="1:11" ht="16.5" customHeight="1">
      <c r="A78" s="42" t="str">
        <f t="shared" si="2"/>
        <v>C077</v>
      </c>
      <c r="B78" s="42" t="s">
        <v>375</v>
      </c>
      <c r="C78" s="22" t="s">
        <v>376</v>
      </c>
      <c r="D78" s="42" t="s">
        <v>380</v>
      </c>
      <c r="E78" s="42" t="s">
        <v>381</v>
      </c>
      <c r="F78" s="22" t="s">
        <v>382</v>
      </c>
      <c r="G78" t="s">
        <v>383</v>
      </c>
      <c r="H78" s="21" t="s">
        <v>384</v>
      </c>
      <c r="I78" s="22" t="s">
        <v>18</v>
      </c>
      <c r="J78" s="42">
        <v>10</v>
      </c>
    </row>
    <row r="79" spans="1:11" ht="16.5" customHeight="1">
      <c r="A79" s="42" t="str">
        <f t="shared" si="2"/>
        <v>C078</v>
      </c>
      <c r="B79" s="55" t="s">
        <v>375</v>
      </c>
      <c r="C79" s="56" t="s">
        <v>376</v>
      </c>
      <c r="D79" s="55" t="s">
        <v>385</v>
      </c>
      <c r="E79" s="55" t="s">
        <v>386</v>
      </c>
      <c r="F79" s="56" t="s">
        <v>387</v>
      </c>
      <c r="G79" s="57" t="s">
        <v>388</v>
      </c>
      <c r="H79" s="72" t="s">
        <v>389</v>
      </c>
      <c r="I79" s="56" t="s">
        <v>18</v>
      </c>
      <c r="J79" s="55">
        <v>4</v>
      </c>
      <c r="K79" t="s">
        <v>390</v>
      </c>
    </row>
    <row r="80" spans="1:11" ht="16.5" customHeight="1">
      <c r="A80" s="42" t="str">
        <f t="shared" si="2"/>
        <v>C079</v>
      </c>
      <c r="B80" s="42" t="s">
        <v>375</v>
      </c>
      <c r="C80" s="22" t="s">
        <v>376</v>
      </c>
      <c r="D80" s="42" t="s">
        <v>391</v>
      </c>
      <c r="E80" s="42" t="s">
        <v>392</v>
      </c>
      <c r="F80" s="48" t="s">
        <v>393</v>
      </c>
      <c r="G80" t="s">
        <v>394</v>
      </c>
      <c r="H80" s="21" t="s">
        <v>395</v>
      </c>
      <c r="I80" s="22" t="s">
        <v>18</v>
      </c>
      <c r="J80" s="22">
        <v>6</v>
      </c>
    </row>
    <row r="81" spans="1:15" ht="16.5" customHeight="1">
      <c r="A81" s="42" t="str">
        <f t="shared" si="2"/>
        <v>C080</v>
      </c>
      <c r="B81" s="42" t="s">
        <v>396</v>
      </c>
      <c r="C81" s="22" t="s">
        <v>397</v>
      </c>
      <c r="D81" s="42" t="s">
        <v>398</v>
      </c>
      <c r="E81" s="42" t="s">
        <v>399</v>
      </c>
      <c r="F81" s="22" t="s">
        <v>400</v>
      </c>
      <c r="H81" s="22" t="s">
        <v>401</v>
      </c>
      <c r="I81" s="22" t="s">
        <v>18</v>
      </c>
    </row>
    <row r="82" spans="1:15" ht="16.5" customHeight="1">
      <c r="A82" s="42" t="str">
        <f t="shared" si="2"/>
        <v>C081</v>
      </c>
      <c r="B82" s="42" t="s">
        <v>402</v>
      </c>
      <c r="C82" s="22" t="s">
        <v>403</v>
      </c>
      <c r="D82" s="42" t="s">
        <v>404</v>
      </c>
      <c r="E82" s="42" t="s">
        <v>319</v>
      </c>
      <c r="G82" t="s">
        <v>405</v>
      </c>
      <c r="I82" s="22" t="s">
        <v>18</v>
      </c>
      <c r="J82" s="42">
        <v>2</v>
      </c>
      <c r="K82" t="s">
        <v>390</v>
      </c>
      <c r="N82" s="20" t="s">
        <v>406</v>
      </c>
    </row>
    <row r="83" spans="1:15" ht="16.5" customHeight="1">
      <c r="A83" s="42" t="str">
        <f t="shared" si="2"/>
        <v>C082</v>
      </c>
      <c r="B83" s="42" t="s">
        <v>407</v>
      </c>
      <c r="C83" s="22" t="s">
        <v>408</v>
      </c>
      <c r="D83" s="42" t="s">
        <v>409</v>
      </c>
      <c r="E83" s="42" t="s">
        <v>410</v>
      </c>
      <c r="G83" t="s">
        <v>411</v>
      </c>
      <c r="H83" s="22" t="s">
        <v>412</v>
      </c>
      <c r="I83" s="22" t="s">
        <v>18</v>
      </c>
      <c r="O83" s="20"/>
    </row>
    <row r="84" spans="1:15" ht="16.5" customHeight="1">
      <c r="A84" s="42" t="str">
        <f t="shared" si="2"/>
        <v>C083</v>
      </c>
      <c r="B84" s="42" t="s">
        <v>413</v>
      </c>
      <c r="C84" s="22" t="s">
        <v>414</v>
      </c>
      <c r="D84" s="42" t="s">
        <v>415</v>
      </c>
      <c r="E84" s="42" t="s">
        <v>202</v>
      </c>
      <c r="F84" s="22" t="s">
        <v>416</v>
      </c>
      <c r="G84" t="s">
        <v>417</v>
      </c>
      <c r="I84" s="22" t="s">
        <v>18</v>
      </c>
    </row>
    <row r="85" spans="1:15" ht="16.5" customHeight="1">
      <c r="A85" s="42" t="str">
        <f t="shared" si="2"/>
        <v>C084</v>
      </c>
      <c r="B85" s="42" t="s">
        <v>418</v>
      </c>
      <c r="C85" s="22" t="s">
        <v>419</v>
      </c>
      <c r="D85" s="42" t="s">
        <v>420</v>
      </c>
      <c r="E85" s="42" t="s">
        <v>421</v>
      </c>
      <c r="F85" s="22" t="s">
        <v>422</v>
      </c>
      <c r="I85" s="22" t="s">
        <v>18</v>
      </c>
    </row>
    <row r="86" spans="1:15" ht="16.5" customHeight="1">
      <c r="A86" s="42" t="str">
        <f t="shared" si="2"/>
        <v>C085</v>
      </c>
      <c r="B86" s="42" t="s">
        <v>423</v>
      </c>
      <c r="C86" s="22" t="s">
        <v>424</v>
      </c>
      <c r="D86" s="42" t="s">
        <v>425</v>
      </c>
      <c r="E86" s="42" t="s">
        <v>426</v>
      </c>
      <c r="F86" s="22" t="s">
        <v>427</v>
      </c>
      <c r="G86" t="s">
        <v>428</v>
      </c>
      <c r="H86" s="22" t="s">
        <v>429</v>
      </c>
      <c r="I86" s="22" t="s">
        <v>18</v>
      </c>
    </row>
    <row r="87" spans="1:15" ht="16.5" customHeight="1">
      <c r="A87" s="42" t="str">
        <f t="shared" si="2"/>
        <v>C086</v>
      </c>
      <c r="B87" s="42" t="s">
        <v>430</v>
      </c>
      <c r="C87" s="22" t="s">
        <v>431</v>
      </c>
      <c r="D87" s="42" t="s">
        <v>432</v>
      </c>
      <c r="E87" s="42" t="s">
        <v>433</v>
      </c>
      <c r="F87" s="22" t="s">
        <v>434</v>
      </c>
      <c r="G87" t="s">
        <v>435</v>
      </c>
      <c r="I87" s="22" t="s">
        <v>18</v>
      </c>
    </row>
    <row r="88" spans="1:15" ht="16.5" customHeight="1">
      <c r="A88" s="42" t="str">
        <f t="shared" si="2"/>
        <v>C087</v>
      </c>
      <c r="B88" s="42" t="s">
        <v>54</v>
      </c>
      <c r="C88" s="22" t="s">
        <v>436</v>
      </c>
      <c r="D88" s="42" t="s">
        <v>437</v>
      </c>
      <c r="E88" s="42" t="s">
        <v>438</v>
      </c>
      <c r="F88" s="22" t="s">
        <v>439</v>
      </c>
      <c r="G88" t="s">
        <v>440</v>
      </c>
      <c r="I88" s="22" t="s">
        <v>18</v>
      </c>
    </row>
    <row r="89" spans="1:15" ht="16.5" customHeight="1">
      <c r="A89" s="42" t="str">
        <f t="shared" si="2"/>
        <v>C088</v>
      </c>
      <c r="B89" s="42" t="s">
        <v>441</v>
      </c>
      <c r="C89" s="22" t="s">
        <v>442</v>
      </c>
      <c r="D89" s="42" t="s">
        <v>443</v>
      </c>
      <c r="E89" s="42" t="s">
        <v>444</v>
      </c>
      <c r="F89" s="22" t="s">
        <v>445</v>
      </c>
      <c r="G89" t="s">
        <v>446</v>
      </c>
      <c r="I89" s="22" t="s">
        <v>18</v>
      </c>
      <c r="J89" s="42">
        <v>7</v>
      </c>
      <c r="M89" s="64" t="s">
        <v>447</v>
      </c>
      <c r="N89" s="20" t="s">
        <v>448</v>
      </c>
    </row>
    <row r="90" spans="1:15" ht="16.5" customHeight="1">
      <c r="A90" s="42" t="str">
        <f t="shared" si="2"/>
        <v>C089</v>
      </c>
      <c r="B90" s="42" t="s">
        <v>449</v>
      </c>
      <c r="C90" s="22" t="s">
        <v>450</v>
      </c>
      <c r="D90" s="42" t="s">
        <v>451</v>
      </c>
      <c r="E90" s="42" t="s">
        <v>426</v>
      </c>
      <c r="F90" s="22" t="s">
        <v>452</v>
      </c>
      <c r="G90" t="s">
        <v>453</v>
      </c>
      <c r="I90" s="22" t="s">
        <v>18</v>
      </c>
      <c r="J90" s="42">
        <v>6</v>
      </c>
    </row>
    <row r="91" spans="1:15" ht="16.5" customHeight="1">
      <c r="A91" s="42" t="str">
        <f t="shared" si="2"/>
        <v>C090</v>
      </c>
      <c r="B91" s="42" t="s">
        <v>54</v>
      </c>
      <c r="C91" s="22" t="s">
        <v>454</v>
      </c>
      <c r="D91" s="42" t="s">
        <v>455</v>
      </c>
      <c r="E91" s="42" t="s">
        <v>456</v>
      </c>
      <c r="F91" s="22" t="s">
        <v>457</v>
      </c>
      <c r="G91" t="s">
        <v>458</v>
      </c>
      <c r="I91" s="22" t="s">
        <v>18</v>
      </c>
    </row>
    <row r="92" spans="1:15" ht="16.5" customHeight="1">
      <c r="A92" s="42" t="str">
        <f t="shared" si="2"/>
        <v>C091</v>
      </c>
      <c r="B92" s="42" t="s">
        <v>459</v>
      </c>
      <c r="C92" s="22" t="s">
        <v>460</v>
      </c>
      <c r="D92" s="42" t="s">
        <v>461</v>
      </c>
      <c r="E92" s="42" t="s">
        <v>462</v>
      </c>
      <c r="F92" s="22" t="s">
        <v>463</v>
      </c>
      <c r="I92" s="22" t="s">
        <v>18</v>
      </c>
    </row>
    <row r="93" spans="1:15" ht="16.5" customHeight="1">
      <c r="A93" s="42" t="str">
        <f t="shared" si="2"/>
        <v>C092</v>
      </c>
      <c r="B93" s="42" t="s">
        <v>464</v>
      </c>
      <c r="C93" s="22" t="s">
        <v>465</v>
      </c>
      <c r="D93" s="42" t="s">
        <v>466</v>
      </c>
      <c r="E93" s="42" t="s">
        <v>426</v>
      </c>
      <c r="F93" s="22" t="s">
        <v>467</v>
      </c>
      <c r="G93" t="s">
        <v>468</v>
      </c>
      <c r="H93" s="21" t="s">
        <v>469</v>
      </c>
      <c r="I93" s="22" t="s">
        <v>18</v>
      </c>
      <c r="J93" s="42">
        <v>4</v>
      </c>
    </row>
    <row r="94" spans="1:15" ht="16.5" customHeight="1">
      <c r="A94" s="42" t="str">
        <f t="shared" si="2"/>
        <v>C093</v>
      </c>
      <c r="B94" s="42" t="s">
        <v>470</v>
      </c>
      <c r="C94" s="22" t="s">
        <v>471</v>
      </c>
      <c r="D94" s="42" t="s">
        <v>472</v>
      </c>
      <c r="E94" s="42" t="s">
        <v>224</v>
      </c>
      <c r="F94" s="22" t="s">
        <v>473</v>
      </c>
      <c r="G94" t="s">
        <v>474</v>
      </c>
      <c r="I94" s="22" t="s">
        <v>18</v>
      </c>
    </row>
    <row r="95" spans="1:15" ht="16.5" customHeight="1">
      <c r="A95" s="42" t="str">
        <f t="shared" si="2"/>
        <v>C094</v>
      </c>
      <c r="B95" s="42" t="s">
        <v>475</v>
      </c>
      <c r="C95" s="22" t="s">
        <v>476</v>
      </c>
      <c r="D95" s="42" t="s">
        <v>477</v>
      </c>
      <c r="E95" s="42" t="s">
        <v>478</v>
      </c>
      <c r="F95" s="22" t="s">
        <v>479</v>
      </c>
      <c r="G95" t="s">
        <v>480</v>
      </c>
      <c r="H95" s="22" t="s">
        <v>481</v>
      </c>
    </row>
    <row r="96" spans="1:15" ht="16.5" customHeight="1">
      <c r="A96" s="42" t="str">
        <f t="shared" si="2"/>
        <v>C095</v>
      </c>
      <c r="B96" s="42" t="s">
        <v>475</v>
      </c>
      <c r="C96" s="22" t="s">
        <v>476</v>
      </c>
      <c r="D96" s="42" t="s">
        <v>482</v>
      </c>
      <c r="E96" s="42" t="s">
        <v>126</v>
      </c>
      <c r="F96" s="22" t="s">
        <v>483</v>
      </c>
      <c r="G96" t="s">
        <v>484</v>
      </c>
      <c r="H96" s="22" t="s">
        <v>485</v>
      </c>
    </row>
    <row r="97" spans="1:10" ht="16.5" customHeight="1">
      <c r="A97" s="42" t="str">
        <f t="shared" si="2"/>
        <v>C096</v>
      </c>
      <c r="B97" s="42" t="s">
        <v>486</v>
      </c>
      <c r="C97" s="22" t="s">
        <v>487</v>
      </c>
      <c r="D97" s="42" t="s">
        <v>488</v>
      </c>
      <c r="E97" s="42" t="s">
        <v>62</v>
      </c>
      <c r="F97" s="22" t="s">
        <v>489</v>
      </c>
      <c r="G97" t="s">
        <v>490</v>
      </c>
      <c r="H97" s="22" t="s">
        <v>491</v>
      </c>
    </row>
    <row r="98" spans="1:10" ht="16.5" customHeight="1">
      <c r="A98" s="42" t="str">
        <f t="shared" ref="A98:A110" si="3">_xlfn.CONCAT("C",TEXT(ROW()-1,"000"))</f>
        <v>C097</v>
      </c>
      <c r="B98" s="42" t="s">
        <v>486</v>
      </c>
      <c r="C98" s="22" t="s">
        <v>487</v>
      </c>
      <c r="D98" s="42" t="s">
        <v>492</v>
      </c>
      <c r="E98" s="42" t="s">
        <v>493</v>
      </c>
      <c r="F98" s="22" t="s">
        <v>494</v>
      </c>
      <c r="H98" s="22" t="s">
        <v>495</v>
      </c>
    </row>
    <row r="99" spans="1:10" ht="16.5" customHeight="1">
      <c r="A99" s="42" t="str">
        <f t="shared" si="3"/>
        <v>C098</v>
      </c>
      <c r="B99" s="42" t="s">
        <v>496</v>
      </c>
      <c r="C99" s="22" t="s">
        <v>497</v>
      </c>
      <c r="D99" s="42" t="s">
        <v>498</v>
      </c>
      <c r="E99" s="42" t="s">
        <v>499</v>
      </c>
      <c r="F99" s="22" t="s">
        <v>500</v>
      </c>
      <c r="H99" s="22" t="s">
        <v>501</v>
      </c>
    </row>
    <row r="100" spans="1:10" ht="16.5" customHeight="1">
      <c r="A100" s="42" t="str">
        <f t="shared" si="3"/>
        <v>C099</v>
      </c>
      <c r="B100" s="42" t="s">
        <v>496</v>
      </c>
      <c r="C100" s="22" t="s">
        <v>497</v>
      </c>
      <c r="D100" s="42" t="s">
        <v>502</v>
      </c>
      <c r="E100" s="42" t="s">
        <v>503</v>
      </c>
      <c r="H100" s="22" t="s">
        <v>504</v>
      </c>
    </row>
    <row r="101" spans="1:10" ht="16.5" customHeight="1">
      <c r="A101" s="42" t="str">
        <f t="shared" si="3"/>
        <v>C100</v>
      </c>
      <c r="B101" s="42" t="s">
        <v>496</v>
      </c>
      <c r="C101" s="22" t="s">
        <v>497</v>
      </c>
      <c r="D101" s="42" t="s">
        <v>505</v>
      </c>
      <c r="E101" s="42" t="s">
        <v>506</v>
      </c>
      <c r="F101" s="22" t="s">
        <v>507</v>
      </c>
      <c r="H101" s="22" t="s">
        <v>508</v>
      </c>
    </row>
    <row r="102" spans="1:10" ht="16.5" customHeight="1">
      <c r="A102" s="42" t="str">
        <f t="shared" si="3"/>
        <v>C101</v>
      </c>
      <c r="B102" s="42" t="s">
        <v>509</v>
      </c>
      <c r="C102" s="22" t="s">
        <v>510</v>
      </c>
      <c r="D102" s="42" t="s">
        <v>511</v>
      </c>
      <c r="E102" s="42" t="s">
        <v>173</v>
      </c>
      <c r="F102" s="22" t="s">
        <v>512</v>
      </c>
      <c r="G102" t="s">
        <v>513</v>
      </c>
      <c r="H102" s="22" t="s">
        <v>514</v>
      </c>
    </row>
    <row r="103" spans="1:10" ht="16.5" customHeight="1">
      <c r="A103" s="42" t="str">
        <f t="shared" si="3"/>
        <v>C102</v>
      </c>
      <c r="B103" s="42" t="s">
        <v>509</v>
      </c>
      <c r="C103" s="22" t="s">
        <v>510</v>
      </c>
      <c r="D103" s="42" t="s">
        <v>515</v>
      </c>
      <c r="E103" s="42" t="s">
        <v>516</v>
      </c>
      <c r="F103" s="22" t="s">
        <v>517</v>
      </c>
      <c r="G103" t="s">
        <v>518</v>
      </c>
      <c r="H103" s="22" t="s">
        <v>519</v>
      </c>
    </row>
    <row r="104" spans="1:10" ht="16.5" customHeight="1">
      <c r="A104" s="42" t="str">
        <f t="shared" si="3"/>
        <v>C103</v>
      </c>
      <c r="B104" s="42" t="s">
        <v>509</v>
      </c>
      <c r="C104" s="22" t="s">
        <v>510</v>
      </c>
      <c r="D104" s="42" t="s">
        <v>520</v>
      </c>
      <c r="E104" s="42" t="s">
        <v>521</v>
      </c>
      <c r="F104" s="22" t="s">
        <v>522</v>
      </c>
      <c r="G104" t="s">
        <v>523</v>
      </c>
      <c r="H104" s="22" t="s">
        <v>524</v>
      </c>
    </row>
    <row r="105" spans="1:10" ht="16.5" customHeight="1">
      <c r="A105" s="42" t="str">
        <f t="shared" si="3"/>
        <v>C104</v>
      </c>
      <c r="B105" s="42" t="s">
        <v>525</v>
      </c>
      <c r="C105" s="22" t="s">
        <v>526</v>
      </c>
      <c r="D105" s="42" t="s">
        <v>527</v>
      </c>
      <c r="F105" s="22" t="s">
        <v>528</v>
      </c>
      <c r="G105" t="s">
        <v>529</v>
      </c>
      <c r="I105" s="22" t="s">
        <v>18</v>
      </c>
    </row>
    <row r="106" spans="1:10" ht="16.5" customHeight="1">
      <c r="A106" s="42" t="str">
        <f t="shared" si="3"/>
        <v>C105</v>
      </c>
      <c r="B106" s="42" t="s">
        <v>525</v>
      </c>
      <c r="C106" s="22" t="s">
        <v>526</v>
      </c>
      <c r="D106" s="42" t="s">
        <v>530</v>
      </c>
      <c r="F106" s="22" t="s">
        <v>531</v>
      </c>
      <c r="G106" t="s">
        <v>532</v>
      </c>
      <c r="I106" s="22" t="s">
        <v>18</v>
      </c>
    </row>
    <row r="107" spans="1:10" ht="16.5" customHeight="1">
      <c r="A107" s="42" t="str">
        <f t="shared" si="3"/>
        <v>C106</v>
      </c>
      <c r="B107" s="42" t="s">
        <v>533</v>
      </c>
      <c r="C107" s="22" t="s">
        <v>534</v>
      </c>
      <c r="D107" s="42" t="s">
        <v>535</v>
      </c>
      <c r="G107" t="s">
        <v>536</v>
      </c>
      <c r="I107" s="22" t="s">
        <v>18</v>
      </c>
    </row>
    <row r="108" spans="1:10" ht="16.5" customHeight="1">
      <c r="A108" s="42" t="str">
        <f t="shared" si="3"/>
        <v>C107</v>
      </c>
      <c r="B108" s="42" t="s">
        <v>537</v>
      </c>
      <c r="C108" s="22" t="s">
        <v>538</v>
      </c>
      <c r="D108" s="42" t="s">
        <v>539</v>
      </c>
      <c r="E108" s="42" t="s">
        <v>361</v>
      </c>
      <c r="F108" s="22" t="s">
        <v>540</v>
      </c>
      <c r="G108" t="s">
        <v>541</v>
      </c>
      <c r="I108" s="22" t="s">
        <v>18</v>
      </c>
      <c r="J108" s="42">
        <v>2</v>
      </c>
    </row>
    <row r="109" spans="1:10" ht="16.5" customHeight="1">
      <c r="A109" s="42" t="str">
        <f t="shared" si="3"/>
        <v>C108</v>
      </c>
      <c r="B109" s="42" t="s">
        <v>537</v>
      </c>
      <c r="C109" s="22" t="s">
        <v>538</v>
      </c>
      <c r="D109" s="42" t="s">
        <v>542</v>
      </c>
      <c r="E109" s="42" t="s">
        <v>543</v>
      </c>
      <c r="F109" s="22" t="s">
        <v>544</v>
      </c>
      <c r="G109" t="s">
        <v>545</v>
      </c>
      <c r="I109" s="22" t="s">
        <v>18</v>
      </c>
      <c r="J109" s="42">
        <v>2</v>
      </c>
    </row>
    <row r="110" spans="1:10" ht="16.5" customHeight="1">
      <c r="A110" s="42" t="str">
        <f t="shared" si="3"/>
        <v>C109</v>
      </c>
      <c r="B110" s="42" t="s">
        <v>546</v>
      </c>
      <c r="C110" s="22" t="s">
        <v>547</v>
      </c>
      <c r="D110" s="42" t="s">
        <v>548</v>
      </c>
      <c r="E110" s="42" t="s">
        <v>173</v>
      </c>
      <c r="F110" s="22" t="s">
        <v>549</v>
      </c>
      <c r="H110" s="22" t="s">
        <v>550</v>
      </c>
    </row>
    <row r="111" spans="1:10" ht="16.5" customHeight="1">
      <c r="B111" s="42" t="s">
        <v>546</v>
      </c>
      <c r="C111" s="22" t="s">
        <v>547</v>
      </c>
      <c r="D111" s="42" t="s">
        <v>551</v>
      </c>
      <c r="E111" s="42" t="s">
        <v>173</v>
      </c>
      <c r="F111" s="22" t="s">
        <v>552</v>
      </c>
      <c r="G111" t="s">
        <v>553</v>
      </c>
      <c r="H111" s="22" t="s">
        <v>554</v>
      </c>
    </row>
    <row r="112" spans="1:10" ht="16.5" customHeight="1">
      <c r="A112" s="42" t="str">
        <f t="shared" ref="A112:A143" si="4">_xlfn.CONCAT("C",TEXT(ROW()-1,"000"))</f>
        <v>C111</v>
      </c>
      <c r="B112" s="42" t="s">
        <v>546</v>
      </c>
      <c r="C112" s="22" t="s">
        <v>547</v>
      </c>
      <c r="D112" s="42" t="s">
        <v>555</v>
      </c>
      <c r="E112" s="42" t="s">
        <v>319</v>
      </c>
      <c r="F112" s="22" t="s">
        <v>556</v>
      </c>
      <c r="G112" t="s">
        <v>557</v>
      </c>
      <c r="H112" s="22" t="s">
        <v>558</v>
      </c>
      <c r="I112" s="22" t="s">
        <v>18</v>
      </c>
    </row>
    <row r="113" spans="1:10" ht="16.5" customHeight="1">
      <c r="A113" s="42" t="str">
        <f t="shared" si="4"/>
        <v>C112</v>
      </c>
      <c r="B113" s="42" t="s">
        <v>559</v>
      </c>
      <c r="C113" s="22" t="s">
        <v>560</v>
      </c>
      <c r="D113" s="42" t="s">
        <v>561</v>
      </c>
      <c r="E113" s="42" t="s">
        <v>126</v>
      </c>
      <c r="F113" s="22" t="s">
        <v>562</v>
      </c>
      <c r="G113" t="s">
        <v>563</v>
      </c>
      <c r="I113" s="22" t="s">
        <v>18</v>
      </c>
    </row>
    <row r="114" spans="1:10" ht="16.5" customHeight="1">
      <c r="A114" s="42" t="str">
        <f t="shared" si="4"/>
        <v>C113</v>
      </c>
      <c r="B114" s="42" t="s">
        <v>559</v>
      </c>
      <c r="C114" s="22" t="s">
        <v>560</v>
      </c>
      <c r="D114" s="42" t="s">
        <v>564</v>
      </c>
      <c r="E114" s="42" t="s">
        <v>565</v>
      </c>
      <c r="F114" s="22" t="s">
        <v>566</v>
      </c>
      <c r="G114" t="s">
        <v>567</v>
      </c>
      <c r="I114" s="22" t="s">
        <v>18</v>
      </c>
    </row>
    <row r="115" spans="1:10" ht="16.5" customHeight="1">
      <c r="A115" s="42" t="str">
        <f t="shared" si="4"/>
        <v>C114</v>
      </c>
      <c r="B115" s="42" t="s">
        <v>568</v>
      </c>
      <c r="C115" s="22" t="s">
        <v>569</v>
      </c>
      <c r="D115" s="42" t="s">
        <v>570</v>
      </c>
      <c r="E115" s="42" t="s">
        <v>571</v>
      </c>
      <c r="F115" s="22" t="s">
        <v>572</v>
      </c>
      <c r="I115" s="22" t="s">
        <v>18</v>
      </c>
    </row>
    <row r="116" spans="1:10" ht="16.5" customHeight="1">
      <c r="A116" s="42" t="str">
        <f t="shared" si="4"/>
        <v>C115</v>
      </c>
      <c r="B116" s="42" t="s">
        <v>573</v>
      </c>
      <c r="C116" s="22" t="s">
        <v>574</v>
      </c>
      <c r="D116" s="42" t="s">
        <v>575</v>
      </c>
      <c r="E116" s="42" t="s">
        <v>576</v>
      </c>
      <c r="F116" s="22" t="s">
        <v>577</v>
      </c>
      <c r="I116" s="22" t="s">
        <v>18</v>
      </c>
    </row>
    <row r="117" spans="1:10" ht="16.5" customHeight="1">
      <c r="A117" s="42" t="str">
        <f t="shared" si="4"/>
        <v>C116</v>
      </c>
      <c r="B117" s="42" t="s">
        <v>573</v>
      </c>
      <c r="C117" s="22" t="s">
        <v>574</v>
      </c>
      <c r="D117" s="42" t="s">
        <v>578</v>
      </c>
      <c r="E117" s="42" t="s">
        <v>579</v>
      </c>
      <c r="F117" s="22" t="s">
        <v>580</v>
      </c>
      <c r="G117" t="s">
        <v>581</v>
      </c>
      <c r="I117" s="22" t="s">
        <v>18</v>
      </c>
    </row>
    <row r="118" spans="1:10" ht="16.5" customHeight="1">
      <c r="A118" s="42" t="str">
        <f t="shared" si="4"/>
        <v>C117</v>
      </c>
      <c r="B118" s="42" t="s">
        <v>573</v>
      </c>
      <c r="C118" s="22" t="s">
        <v>574</v>
      </c>
      <c r="D118" s="42" t="s">
        <v>582</v>
      </c>
      <c r="E118" s="42" t="s">
        <v>583</v>
      </c>
      <c r="F118" s="22" t="s">
        <v>584</v>
      </c>
      <c r="I118" s="22" t="s">
        <v>18</v>
      </c>
    </row>
    <row r="119" spans="1:10" ht="16.5" customHeight="1">
      <c r="A119" s="42" t="str">
        <f t="shared" si="4"/>
        <v>C118</v>
      </c>
      <c r="B119" s="42" t="s">
        <v>585</v>
      </c>
      <c r="C119" s="22" t="s">
        <v>586</v>
      </c>
      <c r="D119" s="42" t="s">
        <v>587</v>
      </c>
      <c r="E119" s="42" t="s">
        <v>588</v>
      </c>
      <c r="G119" t="s">
        <v>589</v>
      </c>
      <c r="H119" s="22" t="s">
        <v>590</v>
      </c>
      <c r="I119" s="22" t="s">
        <v>18</v>
      </c>
      <c r="J119" s="42">
        <v>3</v>
      </c>
    </row>
    <row r="120" spans="1:10" ht="16.5" customHeight="1">
      <c r="A120" s="42" t="str">
        <f t="shared" si="4"/>
        <v>C119</v>
      </c>
      <c r="B120" s="42" t="s">
        <v>591</v>
      </c>
      <c r="C120" s="22" t="s">
        <v>119</v>
      </c>
      <c r="D120" s="42" t="s">
        <v>592</v>
      </c>
      <c r="F120" s="22" t="s">
        <v>593</v>
      </c>
      <c r="G120" t="s">
        <v>594</v>
      </c>
      <c r="I120" s="22" t="s">
        <v>18</v>
      </c>
    </row>
    <row r="121" spans="1:10" ht="16.5" customHeight="1">
      <c r="A121" s="42" t="str">
        <f t="shared" si="4"/>
        <v>C120</v>
      </c>
      <c r="B121" s="42" t="s">
        <v>591</v>
      </c>
      <c r="C121" s="22" t="s">
        <v>119</v>
      </c>
      <c r="D121" s="42" t="s">
        <v>595</v>
      </c>
      <c r="E121" s="42" t="s">
        <v>596</v>
      </c>
      <c r="G121" t="s">
        <v>597</v>
      </c>
      <c r="I121" s="22" t="s">
        <v>18</v>
      </c>
    </row>
    <row r="122" spans="1:10" ht="16.5" customHeight="1">
      <c r="A122" s="42" t="str">
        <f t="shared" si="4"/>
        <v>C121</v>
      </c>
      <c r="B122" s="42" t="s">
        <v>591</v>
      </c>
      <c r="C122" s="22" t="s">
        <v>119</v>
      </c>
      <c r="D122" s="42" t="s">
        <v>598</v>
      </c>
      <c r="E122" s="42" t="s">
        <v>599</v>
      </c>
      <c r="G122" t="s">
        <v>600</v>
      </c>
      <c r="I122" s="22" t="s">
        <v>18</v>
      </c>
    </row>
    <row r="123" spans="1:10" ht="16.5" customHeight="1">
      <c r="A123" s="42" t="str">
        <f t="shared" si="4"/>
        <v>C122</v>
      </c>
      <c r="B123" s="42" t="s">
        <v>591</v>
      </c>
      <c r="C123" s="22" t="s">
        <v>119</v>
      </c>
      <c r="D123" s="42" t="s">
        <v>601</v>
      </c>
      <c r="E123" s="42" t="s">
        <v>456</v>
      </c>
      <c r="F123" s="22" t="s">
        <v>602</v>
      </c>
      <c r="G123" t="s">
        <v>603</v>
      </c>
    </row>
    <row r="124" spans="1:10" ht="16.5" customHeight="1">
      <c r="A124" s="42" t="str">
        <f t="shared" si="4"/>
        <v>C123</v>
      </c>
      <c r="B124" s="42" t="s">
        <v>604</v>
      </c>
      <c r="C124" s="22" t="s">
        <v>605</v>
      </c>
      <c r="D124" s="42" t="s">
        <v>606</v>
      </c>
      <c r="E124" s="42" t="s">
        <v>456</v>
      </c>
      <c r="F124" s="22" t="s">
        <v>607</v>
      </c>
      <c r="G124" t="s">
        <v>608</v>
      </c>
      <c r="I124" s="22" t="s">
        <v>18</v>
      </c>
      <c r="J124" s="42">
        <v>4</v>
      </c>
    </row>
    <row r="125" spans="1:10" ht="16.5" customHeight="1">
      <c r="A125" s="42" t="str">
        <f t="shared" si="4"/>
        <v>C124</v>
      </c>
      <c r="B125" s="42" t="s">
        <v>609</v>
      </c>
      <c r="C125" s="22" t="s">
        <v>610</v>
      </c>
      <c r="D125" s="42" t="s">
        <v>611</v>
      </c>
      <c r="E125" s="42" t="s">
        <v>612</v>
      </c>
      <c r="F125" s="22" t="s">
        <v>613</v>
      </c>
    </row>
    <row r="126" spans="1:10" ht="16.5" customHeight="1">
      <c r="A126" s="42" t="str">
        <f t="shared" si="4"/>
        <v>C125</v>
      </c>
      <c r="B126" s="42" t="s">
        <v>614</v>
      </c>
      <c r="C126" s="22" t="s">
        <v>615</v>
      </c>
      <c r="D126" s="42" t="s">
        <v>616</v>
      </c>
      <c r="E126" s="42" t="s">
        <v>335</v>
      </c>
      <c r="G126" t="s">
        <v>617</v>
      </c>
      <c r="H126" s="22" t="s">
        <v>618</v>
      </c>
    </row>
    <row r="127" spans="1:10" ht="16.5" customHeight="1">
      <c r="A127" s="42" t="str">
        <f t="shared" si="4"/>
        <v>C126</v>
      </c>
      <c r="B127" s="42" t="s">
        <v>619</v>
      </c>
      <c r="C127" s="22" t="s">
        <v>620</v>
      </c>
      <c r="D127" s="42" t="s">
        <v>621</v>
      </c>
      <c r="E127" s="42" t="s">
        <v>622</v>
      </c>
      <c r="I127" s="22" t="s">
        <v>18</v>
      </c>
    </row>
    <row r="128" spans="1:10" ht="16.5" customHeight="1">
      <c r="A128" s="42" t="str">
        <f t="shared" si="4"/>
        <v>C127</v>
      </c>
      <c r="B128" s="42" t="s">
        <v>619</v>
      </c>
      <c r="C128" s="22" t="s">
        <v>620</v>
      </c>
      <c r="D128" s="42" t="s">
        <v>623</v>
      </c>
      <c r="E128" s="42" t="s">
        <v>224</v>
      </c>
      <c r="G128" t="s">
        <v>624</v>
      </c>
      <c r="I128" s="22" t="s">
        <v>18</v>
      </c>
    </row>
    <row r="129" spans="1:13" ht="16.5" customHeight="1">
      <c r="A129" s="42" t="str">
        <f t="shared" si="4"/>
        <v>C128</v>
      </c>
      <c r="B129" s="42" t="s">
        <v>625</v>
      </c>
      <c r="C129" s="22" t="s">
        <v>135</v>
      </c>
      <c r="D129" s="42" t="s">
        <v>626</v>
      </c>
      <c r="E129" s="42" t="s">
        <v>627</v>
      </c>
      <c r="F129" s="22" t="s">
        <v>628</v>
      </c>
      <c r="G129" t="s">
        <v>629</v>
      </c>
      <c r="I129" s="22" t="s">
        <v>18</v>
      </c>
      <c r="J129" s="42">
        <v>5</v>
      </c>
      <c r="K129" t="s">
        <v>390</v>
      </c>
      <c r="M129" s="64" t="s">
        <v>630</v>
      </c>
    </row>
    <row r="130" spans="1:13" ht="16.5" customHeight="1">
      <c r="A130" s="42" t="str">
        <f t="shared" si="4"/>
        <v>C129</v>
      </c>
      <c r="B130" s="42" t="s">
        <v>631</v>
      </c>
      <c r="C130" s="22" t="s">
        <v>632</v>
      </c>
      <c r="D130" s="42" t="s">
        <v>633</v>
      </c>
      <c r="E130" s="42" t="s">
        <v>634</v>
      </c>
      <c r="F130" s="22" t="s">
        <v>635</v>
      </c>
      <c r="G130" t="s">
        <v>636</v>
      </c>
      <c r="H130" s="22" t="s">
        <v>637</v>
      </c>
      <c r="I130" s="22" t="s">
        <v>18</v>
      </c>
      <c r="J130" s="42">
        <v>2</v>
      </c>
    </row>
    <row r="131" spans="1:13" ht="16.5" customHeight="1">
      <c r="A131" s="42" t="str">
        <f t="shared" si="4"/>
        <v>C130</v>
      </c>
      <c r="B131" s="42" t="s">
        <v>638</v>
      </c>
      <c r="C131" s="22" t="s">
        <v>639</v>
      </c>
      <c r="D131" s="42" t="s">
        <v>640</v>
      </c>
      <c r="E131" s="42" t="s">
        <v>503</v>
      </c>
      <c r="F131" s="22" t="s">
        <v>641</v>
      </c>
      <c r="H131" s="22" t="s">
        <v>642</v>
      </c>
    </row>
    <row r="132" spans="1:13" ht="16.5" customHeight="1">
      <c r="A132" s="42" t="str">
        <f t="shared" si="4"/>
        <v>C131</v>
      </c>
      <c r="B132" s="42" t="s">
        <v>643</v>
      </c>
      <c r="C132" s="22" t="s">
        <v>526</v>
      </c>
      <c r="D132" s="42" t="s">
        <v>644</v>
      </c>
      <c r="E132" s="42" t="s">
        <v>645</v>
      </c>
      <c r="F132" s="22" t="s">
        <v>646</v>
      </c>
      <c r="G132" t="s">
        <v>647</v>
      </c>
      <c r="I132" s="22" t="s">
        <v>18</v>
      </c>
      <c r="J132" s="42">
        <v>5</v>
      </c>
    </row>
    <row r="133" spans="1:13" ht="16.5" customHeight="1">
      <c r="A133" s="42" t="str">
        <f t="shared" si="4"/>
        <v>C132</v>
      </c>
      <c r="B133" s="55" t="s">
        <v>643</v>
      </c>
      <c r="C133" s="56" t="s">
        <v>526</v>
      </c>
      <c r="D133" s="55" t="s">
        <v>648</v>
      </c>
      <c r="E133" s="55" t="s">
        <v>649</v>
      </c>
      <c r="F133" s="56" t="s">
        <v>650</v>
      </c>
      <c r="G133" s="57" t="s">
        <v>651</v>
      </c>
      <c r="H133" s="56"/>
      <c r="I133" s="56" t="s">
        <v>18</v>
      </c>
      <c r="J133" s="55">
        <v>0</v>
      </c>
    </row>
    <row r="134" spans="1:13" ht="16.5" customHeight="1">
      <c r="A134" s="42" t="str">
        <f t="shared" si="4"/>
        <v>C133</v>
      </c>
      <c r="B134" s="42" t="s">
        <v>54</v>
      </c>
      <c r="C134" s="22" t="s">
        <v>652</v>
      </c>
      <c r="D134" s="42" t="s">
        <v>653</v>
      </c>
      <c r="E134" s="42" t="s">
        <v>202</v>
      </c>
      <c r="F134" s="22" t="s">
        <v>654</v>
      </c>
      <c r="I134" s="22" t="s">
        <v>18</v>
      </c>
    </row>
    <row r="135" spans="1:13" ht="16.5" customHeight="1">
      <c r="A135" s="42" t="str">
        <f t="shared" si="4"/>
        <v>C134</v>
      </c>
      <c r="B135" s="42" t="s">
        <v>655</v>
      </c>
      <c r="C135" s="22" t="s">
        <v>656</v>
      </c>
      <c r="D135" s="42" t="s">
        <v>657</v>
      </c>
      <c r="E135" s="42" t="s">
        <v>658</v>
      </c>
      <c r="F135" s="22" t="s">
        <v>659</v>
      </c>
      <c r="G135" t="s">
        <v>660</v>
      </c>
      <c r="I135" s="22" t="s">
        <v>18</v>
      </c>
      <c r="J135" s="42">
        <v>2</v>
      </c>
      <c r="K135" t="s">
        <v>661</v>
      </c>
    </row>
    <row r="136" spans="1:13" ht="16.5" customHeight="1">
      <c r="A136" s="42" t="str">
        <f t="shared" si="4"/>
        <v>C135</v>
      </c>
      <c r="B136" s="42" t="s">
        <v>655</v>
      </c>
      <c r="C136" s="22" t="s">
        <v>656</v>
      </c>
      <c r="D136" s="42" t="s">
        <v>662</v>
      </c>
      <c r="E136" s="42" t="s">
        <v>663</v>
      </c>
      <c r="F136" s="22" t="s">
        <v>664</v>
      </c>
      <c r="G136" t="s">
        <v>665</v>
      </c>
      <c r="I136" s="22" t="s">
        <v>18</v>
      </c>
      <c r="J136" s="42">
        <v>2</v>
      </c>
    </row>
    <row r="137" spans="1:13" ht="16.5" customHeight="1">
      <c r="A137" s="42" t="str">
        <f t="shared" si="4"/>
        <v>C136</v>
      </c>
      <c r="B137" s="42" t="s">
        <v>655</v>
      </c>
      <c r="C137" s="22" t="s">
        <v>656</v>
      </c>
      <c r="D137" s="42" t="s">
        <v>666</v>
      </c>
      <c r="E137" s="42" t="s">
        <v>667</v>
      </c>
      <c r="F137" s="51" t="s">
        <v>668</v>
      </c>
      <c r="G137" s="22" t="s">
        <v>669</v>
      </c>
      <c r="I137" s="22" t="s">
        <v>18</v>
      </c>
      <c r="J137" s="22"/>
      <c r="K137" t="s">
        <v>390</v>
      </c>
    </row>
    <row r="138" spans="1:13" ht="16.5" customHeight="1">
      <c r="A138" s="42" t="str">
        <f t="shared" si="4"/>
        <v>C137</v>
      </c>
      <c r="B138" s="42" t="s">
        <v>670</v>
      </c>
      <c r="C138" s="22" t="s">
        <v>671</v>
      </c>
      <c r="D138" s="42" t="s">
        <v>672</v>
      </c>
      <c r="E138" s="42" t="s">
        <v>673</v>
      </c>
      <c r="F138" s="22" t="s">
        <v>674</v>
      </c>
      <c r="G138" t="s">
        <v>675</v>
      </c>
      <c r="H138" s="22" t="s">
        <v>676</v>
      </c>
      <c r="I138" s="22" t="s">
        <v>18</v>
      </c>
    </row>
    <row r="139" spans="1:13" ht="16.5" customHeight="1">
      <c r="A139" s="42" t="str">
        <f t="shared" si="4"/>
        <v>C138</v>
      </c>
      <c r="B139" s="42" t="s">
        <v>670</v>
      </c>
      <c r="C139" s="22" t="s">
        <v>671</v>
      </c>
      <c r="D139" s="42" t="s">
        <v>677</v>
      </c>
      <c r="E139" s="42" t="s">
        <v>678</v>
      </c>
      <c r="H139" s="22" t="s">
        <v>679</v>
      </c>
    </row>
    <row r="140" spans="1:13" ht="16.5" customHeight="1">
      <c r="A140" s="42" t="str">
        <f t="shared" si="4"/>
        <v>C139</v>
      </c>
      <c r="B140" s="42" t="s">
        <v>670</v>
      </c>
      <c r="C140" s="22" t="s">
        <v>671</v>
      </c>
      <c r="D140" s="42" t="s">
        <v>680</v>
      </c>
      <c r="E140" s="42" t="s">
        <v>681</v>
      </c>
      <c r="F140" s="22" t="s">
        <v>682</v>
      </c>
      <c r="H140" s="22" t="s">
        <v>683</v>
      </c>
    </row>
    <row r="141" spans="1:13" ht="16.5" customHeight="1">
      <c r="A141" s="42" t="str">
        <f t="shared" si="4"/>
        <v>C140</v>
      </c>
      <c r="B141" s="42" t="s">
        <v>670</v>
      </c>
      <c r="C141" s="22" t="s">
        <v>671</v>
      </c>
      <c r="D141" s="42" t="s">
        <v>684</v>
      </c>
      <c r="E141" s="42" t="s">
        <v>685</v>
      </c>
      <c r="F141" s="22" t="s">
        <v>686</v>
      </c>
      <c r="H141" s="22" t="s">
        <v>687</v>
      </c>
    </row>
    <row r="142" spans="1:13" ht="16.5" customHeight="1">
      <c r="A142" s="42" t="str">
        <f t="shared" si="4"/>
        <v>C141</v>
      </c>
      <c r="B142" s="42" t="s">
        <v>688</v>
      </c>
      <c r="C142" s="22" t="s">
        <v>689</v>
      </c>
      <c r="D142" s="42" t="s">
        <v>690</v>
      </c>
      <c r="E142" s="42" t="s">
        <v>691</v>
      </c>
      <c r="F142" s="22" t="s">
        <v>692</v>
      </c>
      <c r="G142" t="s">
        <v>693</v>
      </c>
      <c r="H142" s="22" t="s">
        <v>694</v>
      </c>
      <c r="I142" s="22" t="s">
        <v>18</v>
      </c>
      <c r="J142" s="42">
        <v>4</v>
      </c>
    </row>
    <row r="143" spans="1:13" ht="16.5" customHeight="1">
      <c r="A143" s="42" t="str">
        <f t="shared" si="4"/>
        <v>C142</v>
      </c>
      <c r="B143" s="42" t="s">
        <v>688</v>
      </c>
      <c r="C143" s="22" t="s">
        <v>689</v>
      </c>
      <c r="D143" s="42" t="s">
        <v>695</v>
      </c>
      <c r="E143" s="42" t="s">
        <v>696</v>
      </c>
      <c r="F143" s="22" t="s">
        <v>697</v>
      </c>
      <c r="G143" t="s">
        <v>698</v>
      </c>
      <c r="H143" s="22" t="s">
        <v>699</v>
      </c>
      <c r="I143" s="22" t="s">
        <v>18</v>
      </c>
      <c r="J143" s="42">
        <v>2</v>
      </c>
    </row>
    <row r="144" spans="1:13" ht="16.5" customHeight="1">
      <c r="A144" s="42" t="str">
        <f t="shared" ref="A144:A175" si="5">_xlfn.CONCAT("C",TEXT(ROW()-1,"000"))</f>
        <v>C143</v>
      </c>
      <c r="B144" s="42" t="s">
        <v>688</v>
      </c>
      <c r="C144" s="22" t="s">
        <v>689</v>
      </c>
      <c r="D144" s="42" t="s">
        <v>700</v>
      </c>
      <c r="E144" s="42" t="s">
        <v>701</v>
      </c>
      <c r="F144" s="22" t="s">
        <v>702</v>
      </c>
      <c r="G144" t="s">
        <v>703</v>
      </c>
      <c r="H144" s="21" t="s">
        <v>704</v>
      </c>
      <c r="I144" s="22" t="s">
        <v>18</v>
      </c>
      <c r="J144" s="42">
        <v>7</v>
      </c>
    </row>
    <row r="145" spans="1:13" ht="16.5" customHeight="1">
      <c r="A145" s="42" t="str">
        <f t="shared" si="5"/>
        <v>C144</v>
      </c>
      <c r="B145" s="42" t="s">
        <v>688</v>
      </c>
      <c r="C145" s="22" t="s">
        <v>689</v>
      </c>
      <c r="D145" s="42" t="s">
        <v>705</v>
      </c>
      <c r="E145" s="42" t="s">
        <v>706</v>
      </c>
      <c r="F145" s="22" t="s">
        <v>707</v>
      </c>
      <c r="I145" s="22" t="s">
        <v>18</v>
      </c>
      <c r="J145" s="42">
        <v>5</v>
      </c>
    </row>
    <row r="146" spans="1:13" ht="16.5" customHeight="1">
      <c r="A146" s="42" t="str">
        <f t="shared" si="5"/>
        <v>C145</v>
      </c>
      <c r="B146" s="42" t="s">
        <v>708</v>
      </c>
      <c r="C146" s="22" t="s">
        <v>709</v>
      </c>
      <c r="D146" s="42" t="s">
        <v>710</v>
      </c>
      <c r="E146" s="42" t="s">
        <v>706</v>
      </c>
      <c r="F146" s="21" t="s">
        <v>711</v>
      </c>
      <c r="G146" t="s">
        <v>712</v>
      </c>
      <c r="I146" s="22" t="s">
        <v>18</v>
      </c>
    </row>
    <row r="147" spans="1:13" ht="16.5" customHeight="1">
      <c r="A147" s="42" t="str">
        <f t="shared" si="5"/>
        <v>C146</v>
      </c>
      <c r="B147" s="42" t="s">
        <v>713</v>
      </c>
      <c r="C147" s="22" t="s">
        <v>714</v>
      </c>
      <c r="D147" s="42" t="s">
        <v>715</v>
      </c>
      <c r="E147" s="42" t="s">
        <v>716</v>
      </c>
      <c r="F147" s="22" t="s">
        <v>717</v>
      </c>
      <c r="G147" t="s">
        <v>718</v>
      </c>
      <c r="H147" s="22" t="s">
        <v>719</v>
      </c>
      <c r="I147" s="22" t="s">
        <v>18</v>
      </c>
    </row>
    <row r="148" spans="1:13" ht="16.5" customHeight="1">
      <c r="A148" s="42" t="str">
        <f t="shared" si="5"/>
        <v>C147</v>
      </c>
      <c r="B148" s="42" t="s">
        <v>713</v>
      </c>
      <c r="C148" s="22" t="s">
        <v>714</v>
      </c>
      <c r="D148" s="42" t="s">
        <v>720</v>
      </c>
      <c r="E148" s="42" t="s">
        <v>721</v>
      </c>
      <c r="F148" s="22" t="s">
        <v>722</v>
      </c>
      <c r="G148" t="s">
        <v>723</v>
      </c>
      <c r="H148" s="22" t="s">
        <v>724</v>
      </c>
      <c r="I148" s="22" t="s">
        <v>18</v>
      </c>
    </row>
    <row r="149" spans="1:13" ht="16.5" customHeight="1">
      <c r="A149" s="42" t="str">
        <f t="shared" si="5"/>
        <v>C148</v>
      </c>
      <c r="B149" s="42" t="s">
        <v>713</v>
      </c>
      <c r="C149" s="22" t="s">
        <v>714</v>
      </c>
      <c r="D149" s="42" t="s">
        <v>725</v>
      </c>
      <c r="E149" s="42" t="s">
        <v>178</v>
      </c>
      <c r="F149" s="22" t="s">
        <v>726</v>
      </c>
      <c r="G149" t="s">
        <v>727</v>
      </c>
      <c r="H149" s="22" t="s">
        <v>728</v>
      </c>
      <c r="I149" s="22" t="s">
        <v>18</v>
      </c>
    </row>
    <row r="150" spans="1:13" ht="16.5" customHeight="1">
      <c r="A150" s="42" t="str">
        <f t="shared" si="5"/>
        <v>C149</v>
      </c>
      <c r="B150" s="42" t="s">
        <v>729</v>
      </c>
      <c r="C150" s="22" t="s">
        <v>730</v>
      </c>
      <c r="D150" s="42" t="s">
        <v>731</v>
      </c>
      <c r="E150" s="42" t="s">
        <v>732</v>
      </c>
      <c r="F150" s="21" t="s">
        <v>733</v>
      </c>
      <c r="G150" t="s">
        <v>734</v>
      </c>
      <c r="H150" s="22" t="s">
        <v>735</v>
      </c>
      <c r="I150" s="22" t="s">
        <v>18</v>
      </c>
      <c r="J150" s="42">
        <v>2</v>
      </c>
    </row>
    <row r="151" spans="1:13" ht="16.5" customHeight="1">
      <c r="A151" s="42" t="str">
        <f t="shared" si="5"/>
        <v>C150</v>
      </c>
      <c r="B151" s="42" t="s">
        <v>729</v>
      </c>
      <c r="C151" s="22" t="s">
        <v>730</v>
      </c>
      <c r="D151" s="42" t="s">
        <v>736</v>
      </c>
      <c r="E151" s="42" t="s">
        <v>737</v>
      </c>
      <c r="F151" s="22" t="s">
        <v>738</v>
      </c>
      <c r="G151" t="s">
        <v>739</v>
      </c>
      <c r="H151" s="22" t="s">
        <v>740</v>
      </c>
      <c r="I151" s="22" t="s">
        <v>18</v>
      </c>
      <c r="J151" s="42">
        <v>5</v>
      </c>
    </row>
    <row r="152" spans="1:13" ht="16.5" customHeight="1">
      <c r="A152" s="42" t="str">
        <f t="shared" si="5"/>
        <v>C151</v>
      </c>
      <c r="B152" s="42" t="s">
        <v>729</v>
      </c>
      <c r="C152" s="22" t="s">
        <v>730</v>
      </c>
      <c r="D152" s="42" t="s">
        <v>741</v>
      </c>
      <c r="E152" s="42" t="s">
        <v>742</v>
      </c>
      <c r="F152" s="22" t="s">
        <v>743</v>
      </c>
      <c r="G152" t="s">
        <v>744</v>
      </c>
      <c r="H152" s="22" t="s">
        <v>745</v>
      </c>
      <c r="I152" s="22" t="s">
        <v>18</v>
      </c>
      <c r="J152" s="42">
        <v>8</v>
      </c>
    </row>
    <row r="153" spans="1:13" ht="16.5" customHeight="1">
      <c r="A153" s="42" t="str">
        <f t="shared" si="5"/>
        <v>C152</v>
      </c>
      <c r="B153" s="42" t="s">
        <v>729</v>
      </c>
      <c r="C153" s="22" t="s">
        <v>730</v>
      </c>
      <c r="D153" s="42" t="s">
        <v>746</v>
      </c>
      <c r="E153" s="42" t="s">
        <v>747</v>
      </c>
      <c r="F153" s="22" t="s">
        <v>748</v>
      </c>
      <c r="G153" t="s">
        <v>749</v>
      </c>
      <c r="H153" s="22" t="s">
        <v>750</v>
      </c>
      <c r="I153" s="22" t="s">
        <v>18</v>
      </c>
      <c r="J153" s="42">
        <v>6</v>
      </c>
      <c r="M153" s="20" t="s">
        <v>751</v>
      </c>
    </row>
    <row r="154" spans="1:13" ht="18" customHeight="1">
      <c r="A154" s="42" t="str">
        <f t="shared" si="5"/>
        <v>C153</v>
      </c>
      <c r="B154" s="42" t="s">
        <v>729</v>
      </c>
      <c r="C154" s="22" t="s">
        <v>730</v>
      </c>
      <c r="D154" s="42" t="s">
        <v>752</v>
      </c>
      <c r="E154" s="42" t="s">
        <v>753</v>
      </c>
      <c r="F154" s="22" t="s">
        <v>754</v>
      </c>
      <c r="G154" t="s">
        <v>755</v>
      </c>
      <c r="H154" s="22" t="s">
        <v>756</v>
      </c>
      <c r="I154" s="22" t="s">
        <v>18</v>
      </c>
      <c r="J154" s="42">
        <v>3</v>
      </c>
    </row>
    <row r="155" spans="1:13" ht="16.5" customHeight="1">
      <c r="A155" s="42" t="str">
        <f t="shared" si="5"/>
        <v>C154</v>
      </c>
      <c r="B155" s="42" t="s">
        <v>757</v>
      </c>
      <c r="C155" s="22" t="s">
        <v>758</v>
      </c>
      <c r="D155" s="42" t="s">
        <v>759</v>
      </c>
      <c r="E155" s="42" t="s">
        <v>583</v>
      </c>
      <c r="F155" s="22" t="s">
        <v>760</v>
      </c>
      <c r="G155" t="s">
        <v>761</v>
      </c>
      <c r="H155" s="22" t="s">
        <v>762</v>
      </c>
      <c r="I155" s="22" t="s">
        <v>18</v>
      </c>
    </row>
    <row r="156" spans="1:13" ht="16.5" customHeight="1">
      <c r="A156" s="42" t="str">
        <f t="shared" si="5"/>
        <v>C155</v>
      </c>
      <c r="B156" s="42" t="s">
        <v>757</v>
      </c>
      <c r="C156" s="22" t="s">
        <v>758</v>
      </c>
      <c r="D156" s="42" t="s">
        <v>763</v>
      </c>
      <c r="E156" s="42" t="s">
        <v>356</v>
      </c>
      <c r="G156" t="s">
        <v>764</v>
      </c>
      <c r="H156" s="22" t="s">
        <v>765</v>
      </c>
      <c r="I156" s="22" t="s">
        <v>18</v>
      </c>
    </row>
    <row r="157" spans="1:13" ht="16.5" customHeight="1">
      <c r="A157" s="42" t="str">
        <f t="shared" si="5"/>
        <v>C156</v>
      </c>
      <c r="B157" s="42" t="s">
        <v>757</v>
      </c>
      <c r="C157" s="22" t="s">
        <v>758</v>
      </c>
      <c r="D157" s="42" t="s">
        <v>766</v>
      </c>
      <c r="E157" s="42" t="s">
        <v>767</v>
      </c>
      <c r="F157" s="22" t="s">
        <v>768</v>
      </c>
      <c r="G157" t="s">
        <v>769</v>
      </c>
      <c r="H157" s="22" t="s">
        <v>770</v>
      </c>
      <c r="I157" s="22" t="s">
        <v>18</v>
      </c>
    </row>
    <row r="158" spans="1:13" ht="16.5" customHeight="1">
      <c r="A158" s="42" t="str">
        <f t="shared" si="5"/>
        <v>C157</v>
      </c>
      <c r="B158" s="42" t="s">
        <v>757</v>
      </c>
      <c r="C158" s="22" t="s">
        <v>758</v>
      </c>
      <c r="D158" s="42" t="s">
        <v>771</v>
      </c>
      <c r="E158" s="42" t="s">
        <v>772</v>
      </c>
      <c r="F158" s="22" t="s">
        <v>773</v>
      </c>
      <c r="G158" t="s">
        <v>774</v>
      </c>
      <c r="H158" s="22" t="s">
        <v>775</v>
      </c>
      <c r="I158" s="22" t="s">
        <v>18</v>
      </c>
    </row>
    <row r="159" spans="1:13" ht="16.5" customHeight="1">
      <c r="A159" s="42" t="str">
        <f t="shared" si="5"/>
        <v>C158</v>
      </c>
      <c r="B159" s="42" t="s">
        <v>757</v>
      </c>
      <c r="C159" s="22" t="s">
        <v>758</v>
      </c>
      <c r="D159" s="42" t="s">
        <v>776</v>
      </c>
      <c r="E159" s="42" t="s">
        <v>777</v>
      </c>
      <c r="F159" s="22" t="s">
        <v>778</v>
      </c>
      <c r="G159" t="s">
        <v>779</v>
      </c>
      <c r="H159" s="22" t="s">
        <v>780</v>
      </c>
      <c r="I159" s="22" t="s">
        <v>18</v>
      </c>
    </row>
    <row r="160" spans="1:13" ht="16.5" customHeight="1">
      <c r="A160" s="42" t="str">
        <f t="shared" si="5"/>
        <v>C159</v>
      </c>
      <c r="B160" s="42" t="s">
        <v>781</v>
      </c>
      <c r="C160" s="22" t="s">
        <v>782</v>
      </c>
      <c r="D160" s="42" t="s">
        <v>783</v>
      </c>
      <c r="E160" s="42" t="s">
        <v>784</v>
      </c>
      <c r="F160" s="22" t="s">
        <v>785</v>
      </c>
      <c r="G160" t="s">
        <v>786</v>
      </c>
      <c r="H160" s="22" t="s">
        <v>787</v>
      </c>
      <c r="I160" s="22" t="s">
        <v>18</v>
      </c>
    </row>
    <row r="161" spans="1:10" ht="16.5" customHeight="1">
      <c r="A161" s="42" t="str">
        <f t="shared" si="5"/>
        <v>C160</v>
      </c>
      <c r="B161" s="42" t="s">
        <v>781</v>
      </c>
      <c r="C161" s="22" t="s">
        <v>782</v>
      </c>
      <c r="D161" s="42" t="s">
        <v>788</v>
      </c>
      <c r="E161" s="42" t="s">
        <v>361</v>
      </c>
      <c r="F161" s="22" t="s">
        <v>789</v>
      </c>
      <c r="G161" t="s">
        <v>790</v>
      </c>
      <c r="I161" s="22" t="s">
        <v>18</v>
      </c>
    </row>
    <row r="162" spans="1:10" ht="16.5" customHeight="1">
      <c r="A162" s="42" t="str">
        <f t="shared" si="5"/>
        <v>C161</v>
      </c>
      <c r="B162" s="42" t="s">
        <v>781</v>
      </c>
      <c r="C162" s="22" t="s">
        <v>782</v>
      </c>
      <c r="D162" s="42" t="s">
        <v>791</v>
      </c>
      <c r="E162" s="42" t="s">
        <v>792</v>
      </c>
      <c r="F162" s="22" t="s">
        <v>793</v>
      </c>
      <c r="G162" t="s">
        <v>794</v>
      </c>
    </row>
    <row r="163" spans="1:10" ht="16.5" customHeight="1">
      <c r="A163" s="42" t="str">
        <f t="shared" si="5"/>
        <v>C162</v>
      </c>
      <c r="B163" s="42" t="s">
        <v>781</v>
      </c>
      <c r="C163" s="22" t="s">
        <v>782</v>
      </c>
      <c r="D163" s="42" t="s">
        <v>795</v>
      </c>
      <c r="E163" s="42" t="s">
        <v>796</v>
      </c>
      <c r="F163" s="22" t="s">
        <v>797</v>
      </c>
      <c r="G163" t="s">
        <v>798</v>
      </c>
      <c r="I163" s="22" t="s">
        <v>18</v>
      </c>
    </row>
    <row r="164" spans="1:10" ht="16.5" customHeight="1">
      <c r="A164" s="42" t="str">
        <f t="shared" si="5"/>
        <v>C163</v>
      </c>
      <c r="B164" s="42" t="s">
        <v>799</v>
      </c>
      <c r="C164" s="22" t="s">
        <v>800</v>
      </c>
      <c r="D164" s="42" t="s">
        <v>801</v>
      </c>
      <c r="E164" s="42" t="s">
        <v>802</v>
      </c>
      <c r="F164" s="22" t="s">
        <v>803</v>
      </c>
      <c r="G164" t="s">
        <v>804</v>
      </c>
      <c r="H164" s="22" t="s">
        <v>805</v>
      </c>
    </row>
    <row r="165" spans="1:10" ht="16.5" customHeight="1">
      <c r="A165" s="42" t="str">
        <f t="shared" si="5"/>
        <v>C164</v>
      </c>
      <c r="B165" s="42" t="s">
        <v>806</v>
      </c>
      <c r="C165" s="22" t="s">
        <v>807</v>
      </c>
      <c r="D165" s="42" t="s">
        <v>808</v>
      </c>
      <c r="E165" s="42" t="s">
        <v>809</v>
      </c>
      <c r="G165" t="s">
        <v>810</v>
      </c>
      <c r="H165" s="22" t="s">
        <v>811</v>
      </c>
    </row>
    <row r="166" spans="1:10" ht="16.5" customHeight="1">
      <c r="A166" s="42" t="str">
        <f t="shared" si="5"/>
        <v>C165</v>
      </c>
      <c r="B166" s="42" t="s">
        <v>806</v>
      </c>
      <c r="C166" s="22" t="s">
        <v>807</v>
      </c>
      <c r="D166" s="42" t="s">
        <v>812</v>
      </c>
      <c r="E166" s="42" t="s">
        <v>813</v>
      </c>
      <c r="F166" s="22" t="s">
        <v>814</v>
      </c>
      <c r="H166" s="22" t="s">
        <v>815</v>
      </c>
    </row>
    <row r="167" spans="1:10" ht="16.5" customHeight="1">
      <c r="A167" s="42" t="str">
        <f t="shared" si="5"/>
        <v>C166</v>
      </c>
      <c r="B167" s="42" t="s">
        <v>816</v>
      </c>
      <c r="C167" s="22" t="s">
        <v>817</v>
      </c>
      <c r="D167" s="42" t="s">
        <v>818</v>
      </c>
      <c r="E167" s="42" t="s">
        <v>819</v>
      </c>
      <c r="F167" s="22" t="s">
        <v>820</v>
      </c>
      <c r="G167" t="s">
        <v>821</v>
      </c>
      <c r="H167" s="22" t="s">
        <v>822</v>
      </c>
      <c r="I167" s="22" t="s">
        <v>18</v>
      </c>
      <c r="J167" s="42">
        <v>2</v>
      </c>
    </row>
    <row r="168" spans="1:10" ht="16.5" customHeight="1">
      <c r="A168" s="42" t="str">
        <f t="shared" si="5"/>
        <v>C167</v>
      </c>
      <c r="B168" s="42" t="s">
        <v>816</v>
      </c>
      <c r="C168" s="22" t="s">
        <v>817</v>
      </c>
      <c r="D168" s="42" t="s">
        <v>823</v>
      </c>
      <c r="E168" s="42" t="s">
        <v>356</v>
      </c>
      <c r="F168" s="22" t="s">
        <v>824</v>
      </c>
      <c r="G168" t="s">
        <v>825</v>
      </c>
      <c r="I168" s="22" t="s">
        <v>18</v>
      </c>
      <c r="J168" s="42">
        <v>3</v>
      </c>
    </row>
    <row r="169" spans="1:10" ht="16.5" customHeight="1">
      <c r="A169" s="42" t="str">
        <f t="shared" si="5"/>
        <v>C168</v>
      </c>
      <c r="B169" s="42" t="s">
        <v>816</v>
      </c>
      <c r="C169" s="22" t="s">
        <v>817</v>
      </c>
      <c r="D169" s="42" t="s">
        <v>826</v>
      </c>
      <c r="E169" s="42" t="s">
        <v>827</v>
      </c>
      <c r="G169" t="s">
        <v>828</v>
      </c>
      <c r="I169" s="22" t="s">
        <v>18</v>
      </c>
      <c r="J169" s="42">
        <v>4</v>
      </c>
    </row>
    <row r="170" spans="1:10" ht="16.5" customHeight="1">
      <c r="A170" s="42" t="str">
        <f t="shared" si="5"/>
        <v>C169</v>
      </c>
      <c r="B170" s="42" t="s">
        <v>816</v>
      </c>
      <c r="C170" s="22" t="s">
        <v>817</v>
      </c>
      <c r="D170" s="42" t="s">
        <v>829</v>
      </c>
      <c r="E170" s="42" t="s">
        <v>830</v>
      </c>
      <c r="F170" s="22" t="s">
        <v>831</v>
      </c>
      <c r="G170" t="s">
        <v>832</v>
      </c>
      <c r="H170" s="21" t="s">
        <v>833</v>
      </c>
      <c r="I170" s="22" t="s">
        <v>18</v>
      </c>
      <c r="J170" s="42">
        <v>6</v>
      </c>
    </row>
    <row r="171" spans="1:10" ht="16.5" customHeight="1">
      <c r="A171" s="42" t="str">
        <f t="shared" si="5"/>
        <v>C170</v>
      </c>
      <c r="B171" s="42" t="s">
        <v>834</v>
      </c>
      <c r="C171" s="22" t="s">
        <v>835</v>
      </c>
      <c r="D171" s="42" t="s">
        <v>836</v>
      </c>
      <c r="E171" s="42" t="s">
        <v>837</v>
      </c>
      <c r="F171" s="22" t="s">
        <v>838</v>
      </c>
      <c r="G171" t="s">
        <v>839</v>
      </c>
      <c r="H171" s="22" t="s">
        <v>840</v>
      </c>
      <c r="I171" s="22" t="s">
        <v>18</v>
      </c>
    </row>
    <row r="172" spans="1:10" ht="16.5" customHeight="1">
      <c r="A172" s="42" t="str">
        <f t="shared" si="5"/>
        <v>C171</v>
      </c>
      <c r="B172" s="42" t="s">
        <v>834</v>
      </c>
      <c r="C172" s="22" t="s">
        <v>835</v>
      </c>
      <c r="D172" s="42" t="s">
        <v>841</v>
      </c>
      <c r="E172" s="42" t="s">
        <v>842</v>
      </c>
      <c r="F172" s="22" t="s">
        <v>843</v>
      </c>
      <c r="G172" t="s">
        <v>844</v>
      </c>
      <c r="H172" s="22" t="s">
        <v>845</v>
      </c>
      <c r="I172" s="22" t="s">
        <v>18</v>
      </c>
    </row>
    <row r="173" spans="1:10" ht="16.5" customHeight="1">
      <c r="A173" s="42" t="str">
        <f t="shared" si="5"/>
        <v>C172</v>
      </c>
      <c r="B173" s="42" t="s">
        <v>834</v>
      </c>
      <c r="C173" s="22" t="s">
        <v>835</v>
      </c>
      <c r="D173" s="42" t="s">
        <v>846</v>
      </c>
      <c r="E173" s="42" t="s">
        <v>462</v>
      </c>
      <c r="F173" s="22" t="s">
        <v>847</v>
      </c>
      <c r="G173" t="s">
        <v>848</v>
      </c>
      <c r="H173" s="22" t="s">
        <v>849</v>
      </c>
      <c r="I173" s="22" t="s">
        <v>18</v>
      </c>
    </row>
    <row r="174" spans="1:10" ht="16.5" customHeight="1">
      <c r="A174" s="42" t="str">
        <f t="shared" si="5"/>
        <v>C173</v>
      </c>
      <c r="B174" s="42" t="s">
        <v>850</v>
      </c>
      <c r="C174" s="22" t="s">
        <v>851</v>
      </c>
      <c r="D174" s="42" t="s">
        <v>852</v>
      </c>
      <c r="E174" s="42" t="s">
        <v>438</v>
      </c>
      <c r="F174" s="22" t="s">
        <v>853</v>
      </c>
      <c r="G174" t="s">
        <v>854</v>
      </c>
      <c r="H174" s="22" t="s">
        <v>855</v>
      </c>
      <c r="I174" s="22" t="s">
        <v>18</v>
      </c>
      <c r="J174" s="42">
        <v>5</v>
      </c>
    </row>
    <row r="175" spans="1:10" ht="16.5" customHeight="1">
      <c r="A175" s="55" t="str">
        <f t="shared" si="5"/>
        <v>C174</v>
      </c>
      <c r="B175" s="55" t="s">
        <v>850</v>
      </c>
      <c r="C175" s="56" t="s">
        <v>851</v>
      </c>
      <c r="D175" s="55" t="s">
        <v>856</v>
      </c>
      <c r="E175" s="55" t="s">
        <v>857</v>
      </c>
      <c r="F175" s="56" t="s">
        <v>858</v>
      </c>
      <c r="G175" s="57" t="s">
        <v>859</v>
      </c>
      <c r="H175" s="56" t="s">
        <v>860</v>
      </c>
      <c r="I175" s="56" t="s">
        <v>18</v>
      </c>
    </row>
    <row r="176" spans="1:10" ht="16.5" customHeight="1">
      <c r="A176" s="42" t="str">
        <f t="shared" ref="A176:A207" si="6">_xlfn.CONCAT("C",TEXT(ROW()-1,"000"))</f>
        <v>C175</v>
      </c>
      <c r="B176" s="42" t="s">
        <v>850</v>
      </c>
      <c r="C176" s="22" t="s">
        <v>851</v>
      </c>
      <c r="D176" s="42" t="s">
        <v>861</v>
      </c>
      <c r="E176" s="42" t="s">
        <v>837</v>
      </c>
      <c r="F176" s="22" t="s">
        <v>862</v>
      </c>
      <c r="G176" t="s">
        <v>863</v>
      </c>
      <c r="H176" s="22" t="s">
        <v>864</v>
      </c>
      <c r="I176" s="22" t="s">
        <v>18</v>
      </c>
      <c r="J176" s="42">
        <v>7</v>
      </c>
    </row>
    <row r="177" spans="1:13" ht="16.5" customHeight="1">
      <c r="A177" s="55" t="str">
        <f t="shared" si="6"/>
        <v>C176</v>
      </c>
      <c r="B177" s="55" t="s">
        <v>850</v>
      </c>
      <c r="C177" s="56" t="s">
        <v>851</v>
      </c>
      <c r="D177" s="55" t="s">
        <v>865</v>
      </c>
      <c r="E177" s="55" t="s">
        <v>866</v>
      </c>
      <c r="F177" s="56" t="s">
        <v>867</v>
      </c>
      <c r="G177" s="57" t="s">
        <v>868</v>
      </c>
      <c r="H177" s="56" t="s">
        <v>869</v>
      </c>
      <c r="I177" s="56" t="s">
        <v>18</v>
      </c>
      <c r="J177" s="42">
        <v>1</v>
      </c>
    </row>
    <row r="178" spans="1:13" ht="16.5" customHeight="1">
      <c r="A178" s="42" t="str">
        <f t="shared" si="6"/>
        <v>C177</v>
      </c>
      <c r="B178" s="42" t="s">
        <v>870</v>
      </c>
      <c r="C178" s="22" t="s">
        <v>12</v>
      </c>
      <c r="D178" s="42" t="s">
        <v>871</v>
      </c>
      <c r="E178" s="42" t="s">
        <v>319</v>
      </c>
      <c r="F178" s="20" t="s">
        <v>872</v>
      </c>
      <c r="G178" t="s">
        <v>873</v>
      </c>
      <c r="H178" s="22" t="s">
        <v>874</v>
      </c>
      <c r="I178" s="22" t="s">
        <v>18</v>
      </c>
    </row>
    <row r="179" spans="1:13" ht="16.5" customHeight="1">
      <c r="A179" s="42" t="str">
        <f t="shared" si="6"/>
        <v>C178</v>
      </c>
      <c r="B179" s="42" t="s">
        <v>870</v>
      </c>
      <c r="C179" s="22" t="s">
        <v>12</v>
      </c>
      <c r="D179" s="42" t="s">
        <v>875</v>
      </c>
      <c r="E179" s="42" t="s">
        <v>876</v>
      </c>
      <c r="F179" s="22" t="s">
        <v>877</v>
      </c>
      <c r="G179" t="s">
        <v>878</v>
      </c>
      <c r="H179" s="22" t="s">
        <v>879</v>
      </c>
      <c r="I179" s="22" t="s">
        <v>18</v>
      </c>
    </row>
    <row r="180" spans="1:13" ht="16.5" customHeight="1">
      <c r="A180" s="42" t="str">
        <f t="shared" si="6"/>
        <v>C179</v>
      </c>
      <c r="B180" s="42" t="s">
        <v>870</v>
      </c>
      <c r="C180" s="22" t="s">
        <v>12</v>
      </c>
      <c r="D180" s="42" t="s">
        <v>880</v>
      </c>
      <c r="E180" s="42" t="s">
        <v>881</v>
      </c>
      <c r="F180" s="22" t="s">
        <v>882</v>
      </c>
      <c r="G180" t="s">
        <v>883</v>
      </c>
      <c r="H180" s="22" t="s">
        <v>884</v>
      </c>
      <c r="I180" s="22" t="s">
        <v>18</v>
      </c>
    </row>
    <row r="181" spans="1:13" ht="16.5" customHeight="1">
      <c r="A181" s="42" t="str">
        <f t="shared" si="6"/>
        <v>C180</v>
      </c>
      <c r="B181" s="42" t="s">
        <v>870</v>
      </c>
      <c r="C181" s="22" t="s">
        <v>12</v>
      </c>
      <c r="D181" s="42" t="s">
        <v>885</v>
      </c>
      <c r="E181" s="42" t="s">
        <v>857</v>
      </c>
      <c r="F181" s="22" t="s">
        <v>886</v>
      </c>
    </row>
    <row r="182" spans="1:13" ht="16.5" customHeight="1">
      <c r="A182" s="42" t="str">
        <f t="shared" si="6"/>
        <v>C181</v>
      </c>
      <c r="B182" s="42" t="s">
        <v>870</v>
      </c>
      <c r="C182" s="22" t="s">
        <v>12</v>
      </c>
      <c r="D182" s="42" t="s">
        <v>887</v>
      </c>
      <c r="E182" s="42" t="s">
        <v>583</v>
      </c>
      <c r="F182" s="22" t="s">
        <v>888</v>
      </c>
      <c r="H182" s="22" t="s">
        <v>889</v>
      </c>
      <c r="I182" s="22" t="s">
        <v>18</v>
      </c>
    </row>
    <row r="183" spans="1:13" ht="16.5" customHeight="1">
      <c r="A183" s="42" t="str">
        <f t="shared" si="6"/>
        <v>C182</v>
      </c>
      <c r="B183" s="42" t="s">
        <v>890</v>
      </c>
      <c r="C183" s="56" t="s">
        <v>891</v>
      </c>
      <c r="D183" s="55" t="s">
        <v>892</v>
      </c>
      <c r="E183" s="55" t="s">
        <v>893</v>
      </c>
      <c r="F183" s="56" t="s">
        <v>894</v>
      </c>
      <c r="G183" s="57" t="s">
        <v>895</v>
      </c>
      <c r="H183" s="56" t="s">
        <v>896</v>
      </c>
      <c r="I183" s="56" t="s">
        <v>18</v>
      </c>
      <c r="J183" s="42">
        <v>4</v>
      </c>
    </row>
    <row r="184" spans="1:13" ht="16.5" customHeight="1">
      <c r="A184" s="42" t="str">
        <f t="shared" si="6"/>
        <v>C183</v>
      </c>
      <c r="B184" s="42" t="s">
        <v>890</v>
      </c>
      <c r="C184" s="22" t="s">
        <v>891</v>
      </c>
      <c r="D184" s="42" t="s">
        <v>897</v>
      </c>
      <c r="E184" s="42" t="s">
        <v>898</v>
      </c>
      <c r="F184" s="22" t="s">
        <v>899</v>
      </c>
      <c r="G184" t="s">
        <v>900</v>
      </c>
      <c r="H184" s="22" t="s">
        <v>901</v>
      </c>
      <c r="I184" s="22" t="s">
        <v>18</v>
      </c>
      <c r="J184" s="42">
        <v>4</v>
      </c>
      <c r="M184" t="s">
        <v>902</v>
      </c>
    </row>
    <row r="185" spans="1:13" ht="16.5" customHeight="1">
      <c r="A185" s="42" t="str">
        <f t="shared" si="6"/>
        <v>C184</v>
      </c>
      <c r="B185" s="42" t="s">
        <v>890</v>
      </c>
      <c r="C185" s="22" t="s">
        <v>891</v>
      </c>
      <c r="D185" s="42" t="s">
        <v>903</v>
      </c>
      <c r="E185" s="42" t="s">
        <v>596</v>
      </c>
      <c r="F185" s="22" t="s">
        <v>904</v>
      </c>
      <c r="G185" t="s">
        <v>905</v>
      </c>
      <c r="H185" s="22" t="s">
        <v>906</v>
      </c>
      <c r="I185" s="22" t="s">
        <v>18</v>
      </c>
      <c r="J185" s="42">
        <v>4</v>
      </c>
    </row>
    <row r="186" spans="1:13" ht="16.5" customHeight="1">
      <c r="A186" s="42" t="str">
        <f t="shared" si="6"/>
        <v>C185</v>
      </c>
      <c r="B186" s="42" t="s">
        <v>890</v>
      </c>
      <c r="C186" s="22" t="s">
        <v>891</v>
      </c>
      <c r="D186" s="42" t="s">
        <v>907</v>
      </c>
      <c r="E186" s="42" t="s">
        <v>908</v>
      </c>
      <c r="F186" s="22" t="s">
        <v>909</v>
      </c>
      <c r="G186" t="s">
        <v>910</v>
      </c>
      <c r="H186" s="22" t="s">
        <v>911</v>
      </c>
      <c r="I186" s="22" t="s">
        <v>18</v>
      </c>
      <c r="J186" s="42">
        <v>2</v>
      </c>
    </row>
    <row r="187" spans="1:13" ht="16.5" customHeight="1">
      <c r="A187" s="42" t="str">
        <f t="shared" si="6"/>
        <v>C186</v>
      </c>
      <c r="B187" s="42" t="s">
        <v>890</v>
      </c>
      <c r="C187" s="22" t="s">
        <v>891</v>
      </c>
      <c r="D187" s="42" t="s">
        <v>912</v>
      </c>
      <c r="E187" s="42" t="s">
        <v>913</v>
      </c>
      <c r="F187" s="22" t="s">
        <v>914</v>
      </c>
      <c r="G187" t="s">
        <v>915</v>
      </c>
      <c r="H187" s="22" t="s">
        <v>916</v>
      </c>
      <c r="I187" s="22" t="s">
        <v>18</v>
      </c>
      <c r="J187" s="42">
        <v>4</v>
      </c>
    </row>
    <row r="188" spans="1:13" ht="16.5" customHeight="1">
      <c r="A188" s="42" t="str">
        <f t="shared" si="6"/>
        <v>C187</v>
      </c>
      <c r="B188" s="42" t="s">
        <v>890</v>
      </c>
      <c r="C188" s="22" t="s">
        <v>891</v>
      </c>
      <c r="D188" s="42" t="s">
        <v>917</v>
      </c>
      <c r="E188" s="42" t="s">
        <v>918</v>
      </c>
      <c r="F188" s="22" t="s">
        <v>919</v>
      </c>
      <c r="G188" t="s">
        <v>920</v>
      </c>
      <c r="H188" s="22" t="s">
        <v>921</v>
      </c>
      <c r="I188" s="22" t="s">
        <v>18</v>
      </c>
      <c r="J188" s="42">
        <v>4</v>
      </c>
    </row>
    <row r="189" spans="1:13" ht="16.5" customHeight="1">
      <c r="A189" s="42" t="str">
        <f t="shared" si="6"/>
        <v>C188</v>
      </c>
      <c r="B189" s="42" t="s">
        <v>890</v>
      </c>
      <c r="C189" s="22" t="s">
        <v>891</v>
      </c>
      <c r="D189" s="42" t="s">
        <v>922</v>
      </c>
      <c r="E189" s="42" t="s">
        <v>478</v>
      </c>
      <c r="F189" s="22" t="s">
        <v>923</v>
      </c>
      <c r="G189" t="s">
        <v>924</v>
      </c>
      <c r="H189" s="22" t="s">
        <v>925</v>
      </c>
      <c r="I189" s="22" t="s">
        <v>18</v>
      </c>
      <c r="J189" s="42">
        <v>1</v>
      </c>
    </row>
    <row r="190" spans="1:13" ht="16.5" customHeight="1">
      <c r="A190" s="42" t="str">
        <f t="shared" si="6"/>
        <v>C189</v>
      </c>
      <c r="B190" s="42" t="s">
        <v>890</v>
      </c>
      <c r="C190" s="56" t="s">
        <v>891</v>
      </c>
      <c r="D190" s="55" t="s">
        <v>926</v>
      </c>
      <c r="E190" s="55" t="s">
        <v>583</v>
      </c>
      <c r="F190" s="56" t="s">
        <v>927</v>
      </c>
      <c r="G190" s="57" t="s">
        <v>928</v>
      </c>
      <c r="H190" s="56" t="s">
        <v>929</v>
      </c>
      <c r="I190" s="56" t="s">
        <v>18</v>
      </c>
      <c r="J190" s="42">
        <v>1</v>
      </c>
    </row>
    <row r="191" spans="1:13" ht="16.5" customHeight="1">
      <c r="A191" s="42" t="str">
        <f t="shared" si="6"/>
        <v>C190</v>
      </c>
      <c r="B191" s="42" t="s">
        <v>890</v>
      </c>
      <c r="C191" s="22" t="s">
        <v>891</v>
      </c>
      <c r="D191" s="42" t="s">
        <v>930</v>
      </c>
      <c r="E191" s="42" t="s">
        <v>931</v>
      </c>
      <c r="F191" s="21" t="s">
        <v>932</v>
      </c>
      <c r="G191" t="s">
        <v>933</v>
      </c>
      <c r="H191" s="22" t="s">
        <v>934</v>
      </c>
      <c r="I191" s="22" t="s">
        <v>18</v>
      </c>
      <c r="J191" s="22">
        <v>1</v>
      </c>
      <c r="K191" t="s">
        <v>390</v>
      </c>
    </row>
    <row r="192" spans="1:13" ht="16.5" customHeight="1">
      <c r="A192" s="42" t="str">
        <f t="shared" si="6"/>
        <v>C191</v>
      </c>
      <c r="B192" s="42" t="s">
        <v>890</v>
      </c>
      <c r="C192" s="22" t="s">
        <v>891</v>
      </c>
      <c r="D192" s="42" t="s">
        <v>935</v>
      </c>
      <c r="E192" s="42" t="s">
        <v>319</v>
      </c>
      <c r="F192" s="22" t="s">
        <v>936</v>
      </c>
      <c r="G192" t="s">
        <v>937</v>
      </c>
      <c r="H192" s="22" t="s">
        <v>938</v>
      </c>
      <c r="I192" s="22" t="s">
        <v>18</v>
      </c>
    </row>
    <row r="193" spans="1:9" ht="16.5" customHeight="1">
      <c r="A193" s="42" t="str">
        <f t="shared" si="6"/>
        <v>C192</v>
      </c>
      <c r="B193" s="42" t="s">
        <v>890</v>
      </c>
      <c r="C193" s="22" t="s">
        <v>891</v>
      </c>
      <c r="D193" s="42" t="s">
        <v>939</v>
      </c>
      <c r="E193" s="42" t="s">
        <v>940</v>
      </c>
      <c r="F193" s="22" t="s">
        <v>941</v>
      </c>
      <c r="H193" s="22" t="s">
        <v>942</v>
      </c>
    </row>
    <row r="194" spans="1:9" ht="16.5" customHeight="1">
      <c r="A194" s="42" t="str">
        <f t="shared" si="6"/>
        <v>C193</v>
      </c>
      <c r="B194" s="42" t="s">
        <v>943</v>
      </c>
      <c r="C194" s="22" t="s">
        <v>944</v>
      </c>
      <c r="D194" s="42" t="s">
        <v>945</v>
      </c>
      <c r="E194" s="42" t="s">
        <v>946</v>
      </c>
    </row>
    <row r="195" spans="1:9" ht="16.5" customHeight="1">
      <c r="A195" s="42" t="str">
        <f t="shared" si="6"/>
        <v>C194</v>
      </c>
      <c r="B195" s="42" t="s">
        <v>943</v>
      </c>
      <c r="C195" s="22" t="s">
        <v>944</v>
      </c>
      <c r="D195" s="42" t="s">
        <v>947</v>
      </c>
      <c r="E195" s="42" t="s">
        <v>173</v>
      </c>
      <c r="F195" s="22" t="s">
        <v>948</v>
      </c>
      <c r="G195" t="s">
        <v>949</v>
      </c>
      <c r="H195" s="22" t="s">
        <v>950</v>
      </c>
    </row>
    <row r="196" spans="1:9" ht="16.5" customHeight="1">
      <c r="A196" s="42" t="str">
        <f t="shared" si="6"/>
        <v>C195</v>
      </c>
      <c r="B196" s="42" t="s">
        <v>951</v>
      </c>
      <c r="C196" s="22" t="s">
        <v>952</v>
      </c>
      <c r="D196" s="42" t="s">
        <v>953</v>
      </c>
      <c r="E196" s="42" t="s">
        <v>857</v>
      </c>
      <c r="F196" s="22" t="s">
        <v>954</v>
      </c>
      <c r="H196" s="22" t="s">
        <v>955</v>
      </c>
    </row>
    <row r="197" spans="1:9" ht="16.5" customHeight="1">
      <c r="A197" s="42" t="str">
        <f t="shared" si="6"/>
        <v>C196</v>
      </c>
      <c r="B197" s="42" t="s">
        <v>956</v>
      </c>
      <c r="C197" s="22" t="s">
        <v>957</v>
      </c>
      <c r="D197" s="42" t="s">
        <v>958</v>
      </c>
      <c r="E197" s="42" t="s">
        <v>959</v>
      </c>
      <c r="F197" s="22" t="s">
        <v>960</v>
      </c>
      <c r="H197" s="22" t="s">
        <v>961</v>
      </c>
    </row>
    <row r="198" spans="1:9" ht="16.5" customHeight="1">
      <c r="A198" s="42" t="str">
        <f t="shared" si="6"/>
        <v>C197</v>
      </c>
      <c r="B198" s="42" t="s">
        <v>956</v>
      </c>
      <c r="C198" s="22" t="s">
        <v>957</v>
      </c>
      <c r="D198" s="42" t="s">
        <v>962</v>
      </c>
      <c r="E198" s="42" t="s">
        <v>963</v>
      </c>
      <c r="H198" s="22" t="s">
        <v>964</v>
      </c>
    </row>
    <row r="199" spans="1:9" ht="16.5" customHeight="1">
      <c r="A199" s="42" t="str">
        <f t="shared" si="6"/>
        <v>C198</v>
      </c>
      <c r="B199" s="42" t="s">
        <v>965</v>
      </c>
      <c r="C199" s="22" t="s">
        <v>966</v>
      </c>
      <c r="D199" s="42" t="s">
        <v>967</v>
      </c>
      <c r="E199" s="42" t="s">
        <v>968</v>
      </c>
      <c r="G199" t="s">
        <v>969</v>
      </c>
      <c r="H199" s="22" t="s">
        <v>970</v>
      </c>
    </row>
    <row r="200" spans="1:9" ht="16.5" customHeight="1">
      <c r="A200" s="42" t="str">
        <f t="shared" si="6"/>
        <v>C199</v>
      </c>
      <c r="B200" s="42" t="s">
        <v>971</v>
      </c>
      <c r="C200" s="22" t="s">
        <v>972</v>
      </c>
      <c r="D200" s="42" t="s">
        <v>973</v>
      </c>
      <c r="E200" s="42" t="s">
        <v>772</v>
      </c>
      <c r="G200" t="s">
        <v>974</v>
      </c>
      <c r="H200" s="22" t="s">
        <v>975</v>
      </c>
      <c r="I200" s="22" t="s">
        <v>18</v>
      </c>
    </row>
    <row r="201" spans="1:9" ht="16.5" customHeight="1">
      <c r="A201" s="42" t="str">
        <f t="shared" si="6"/>
        <v>C200</v>
      </c>
      <c r="B201" s="42" t="s">
        <v>976</v>
      </c>
      <c r="C201" s="22" t="s">
        <v>977</v>
      </c>
      <c r="D201" s="42" t="s">
        <v>978</v>
      </c>
      <c r="E201" s="42" t="s">
        <v>979</v>
      </c>
      <c r="F201" s="22" t="s">
        <v>980</v>
      </c>
      <c r="H201" s="22" t="s">
        <v>981</v>
      </c>
    </row>
    <row r="202" spans="1:9" ht="16.5" customHeight="1">
      <c r="A202" s="42" t="str">
        <f t="shared" si="6"/>
        <v>C201</v>
      </c>
      <c r="B202" s="42" t="s">
        <v>976</v>
      </c>
      <c r="C202" s="22" t="s">
        <v>977</v>
      </c>
      <c r="D202" s="42" t="s">
        <v>982</v>
      </c>
      <c r="E202" s="42" t="s">
        <v>188</v>
      </c>
      <c r="F202" s="22" t="s">
        <v>983</v>
      </c>
      <c r="H202" s="22" t="s">
        <v>984</v>
      </c>
    </row>
    <row r="203" spans="1:9" ht="16.5" customHeight="1">
      <c r="A203" s="42" t="str">
        <f t="shared" si="6"/>
        <v>C202</v>
      </c>
      <c r="B203" s="42" t="s">
        <v>985</v>
      </c>
      <c r="C203" s="22" t="s">
        <v>151</v>
      </c>
      <c r="D203" s="42" t="s">
        <v>986</v>
      </c>
      <c r="E203" s="42" t="s">
        <v>987</v>
      </c>
      <c r="F203" s="22" t="s">
        <v>988</v>
      </c>
      <c r="G203" t="s">
        <v>989</v>
      </c>
      <c r="H203" s="22" t="s">
        <v>990</v>
      </c>
      <c r="I203" s="22" t="s">
        <v>18</v>
      </c>
    </row>
    <row r="204" spans="1:9" ht="16.5" customHeight="1">
      <c r="A204" s="42" t="str">
        <f t="shared" si="6"/>
        <v>C203</v>
      </c>
      <c r="B204" s="42" t="s">
        <v>985</v>
      </c>
      <c r="C204" s="22" t="s">
        <v>151</v>
      </c>
      <c r="D204" s="42" t="s">
        <v>991</v>
      </c>
      <c r="E204" s="42" t="s">
        <v>992</v>
      </c>
      <c r="G204" t="s">
        <v>993</v>
      </c>
      <c r="H204" s="22" t="s">
        <v>994</v>
      </c>
      <c r="I204" s="22" t="s">
        <v>18</v>
      </c>
    </row>
    <row r="205" spans="1:9" ht="16.5" customHeight="1">
      <c r="A205" s="42" t="str">
        <f t="shared" si="6"/>
        <v>C204</v>
      </c>
      <c r="B205" s="42" t="s">
        <v>985</v>
      </c>
      <c r="C205" s="22" t="s">
        <v>151</v>
      </c>
      <c r="D205" s="42" t="s">
        <v>995</v>
      </c>
      <c r="E205" s="42" t="s">
        <v>987</v>
      </c>
      <c r="F205" s="22" t="s">
        <v>996</v>
      </c>
      <c r="G205" t="s">
        <v>997</v>
      </c>
      <c r="H205" s="22" t="s">
        <v>998</v>
      </c>
    </row>
    <row r="206" spans="1:9" ht="16.5" customHeight="1">
      <c r="A206" s="42" t="str">
        <f t="shared" si="6"/>
        <v>C205</v>
      </c>
      <c r="B206" s="42" t="s">
        <v>999</v>
      </c>
      <c r="C206" s="22" t="s">
        <v>1000</v>
      </c>
      <c r="D206" s="42" t="s">
        <v>1001</v>
      </c>
      <c r="E206" s="42" t="s">
        <v>1002</v>
      </c>
      <c r="F206" s="22" t="s">
        <v>1003</v>
      </c>
      <c r="G206" t="s">
        <v>1004</v>
      </c>
      <c r="H206" s="22" t="s">
        <v>1005</v>
      </c>
    </row>
    <row r="207" spans="1:9" ht="16.5" customHeight="1">
      <c r="A207" s="42" t="str">
        <f t="shared" si="6"/>
        <v>C206</v>
      </c>
      <c r="B207" s="42" t="s">
        <v>999</v>
      </c>
      <c r="C207" s="22" t="s">
        <v>1000</v>
      </c>
      <c r="D207" s="42" t="s">
        <v>1006</v>
      </c>
      <c r="E207" s="42" t="s">
        <v>1007</v>
      </c>
      <c r="G207" t="s">
        <v>1008</v>
      </c>
      <c r="H207" s="22" t="s">
        <v>1009</v>
      </c>
    </row>
    <row r="208" spans="1:9" ht="16.5" customHeight="1">
      <c r="A208" s="42" t="str">
        <f t="shared" ref="A208:A216" si="7">_xlfn.CONCAT("C",TEXT(ROW()-1,"000"))</f>
        <v>C207</v>
      </c>
      <c r="B208" s="42" t="s">
        <v>999</v>
      </c>
      <c r="C208" s="22" t="s">
        <v>1000</v>
      </c>
      <c r="D208" s="42" t="s">
        <v>1010</v>
      </c>
      <c r="E208" s="42" t="s">
        <v>1011</v>
      </c>
      <c r="G208" t="s">
        <v>1012</v>
      </c>
      <c r="H208" s="22" t="s">
        <v>1013</v>
      </c>
    </row>
    <row r="209" spans="1:10" ht="16.5" customHeight="1">
      <c r="A209" s="42" t="str">
        <f t="shared" si="7"/>
        <v>C208</v>
      </c>
      <c r="B209" s="42" t="s">
        <v>1014</v>
      </c>
      <c r="C209" s="22" t="s">
        <v>1015</v>
      </c>
      <c r="D209" s="42" t="s">
        <v>1016</v>
      </c>
      <c r="E209" s="42" t="s">
        <v>1017</v>
      </c>
      <c r="G209" t="s">
        <v>1018</v>
      </c>
      <c r="H209" s="22" t="s">
        <v>1019</v>
      </c>
    </row>
    <row r="210" spans="1:10" ht="16.5" customHeight="1">
      <c r="A210" s="42" t="str">
        <f t="shared" si="7"/>
        <v>C209</v>
      </c>
      <c r="B210" s="42" t="s">
        <v>1014</v>
      </c>
      <c r="C210" s="22" t="s">
        <v>1015</v>
      </c>
      <c r="D210" s="42" t="s">
        <v>1020</v>
      </c>
      <c r="E210" s="42" t="s">
        <v>1021</v>
      </c>
      <c r="H210" s="22" t="s">
        <v>1022</v>
      </c>
    </row>
    <row r="211" spans="1:10" ht="16.5" customHeight="1">
      <c r="A211" s="42" t="str">
        <f t="shared" si="7"/>
        <v>C210</v>
      </c>
      <c r="B211" s="42" t="s">
        <v>1014</v>
      </c>
      <c r="C211" s="22" t="s">
        <v>1015</v>
      </c>
      <c r="D211" s="42" t="s">
        <v>1023</v>
      </c>
      <c r="E211" s="42" t="s">
        <v>1024</v>
      </c>
      <c r="H211" s="22" t="s">
        <v>1025</v>
      </c>
    </row>
    <row r="212" spans="1:10" ht="16.5" customHeight="1">
      <c r="A212" s="42" t="str">
        <f t="shared" si="7"/>
        <v>C211</v>
      </c>
      <c r="B212" s="42" t="s">
        <v>1014</v>
      </c>
      <c r="C212" s="22" t="s">
        <v>1015</v>
      </c>
      <c r="D212" s="42" t="s">
        <v>1026</v>
      </c>
      <c r="E212" s="42" t="s">
        <v>1027</v>
      </c>
      <c r="H212" s="22" t="s">
        <v>1028</v>
      </c>
    </row>
    <row r="213" spans="1:10" ht="16.5" customHeight="1">
      <c r="A213" s="42" t="str">
        <f t="shared" si="7"/>
        <v>C212</v>
      </c>
      <c r="B213" s="42" t="s">
        <v>1029</v>
      </c>
      <c r="C213" s="22" t="s">
        <v>1030</v>
      </c>
      <c r="D213" s="42" t="s">
        <v>1031</v>
      </c>
      <c r="E213" s="42" t="s">
        <v>857</v>
      </c>
      <c r="F213" s="22" t="s">
        <v>1032</v>
      </c>
      <c r="G213" t="s">
        <v>1033</v>
      </c>
      <c r="H213" s="22" t="s">
        <v>1034</v>
      </c>
      <c r="I213" s="22" t="s">
        <v>18</v>
      </c>
      <c r="J213" s="42">
        <v>2</v>
      </c>
    </row>
    <row r="214" spans="1:10" ht="16.5" customHeight="1">
      <c r="A214" s="42" t="str">
        <f t="shared" si="7"/>
        <v>C213</v>
      </c>
      <c r="B214" s="42" t="s">
        <v>1029</v>
      </c>
      <c r="C214" s="22" t="s">
        <v>1030</v>
      </c>
      <c r="D214" s="42" t="s">
        <v>1035</v>
      </c>
      <c r="E214" s="42" t="s">
        <v>1036</v>
      </c>
      <c r="G214" t="s">
        <v>1037</v>
      </c>
      <c r="H214" s="22" t="s">
        <v>1038</v>
      </c>
      <c r="I214" s="22" t="s">
        <v>18</v>
      </c>
      <c r="J214" s="42">
        <v>2</v>
      </c>
    </row>
    <row r="215" spans="1:10" ht="16.5" customHeight="1">
      <c r="A215" s="42" t="str">
        <f t="shared" si="7"/>
        <v>C214</v>
      </c>
      <c r="B215" s="42" t="s">
        <v>1029</v>
      </c>
      <c r="C215" s="22" t="s">
        <v>1039</v>
      </c>
      <c r="D215" s="42" t="s">
        <v>1040</v>
      </c>
      <c r="E215" s="42" t="s">
        <v>830</v>
      </c>
      <c r="F215" s="20" t="s">
        <v>1041</v>
      </c>
      <c r="I215" s="22" t="s">
        <v>18</v>
      </c>
      <c r="J215" s="22">
        <v>3</v>
      </c>
    </row>
    <row r="216" spans="1:10" ht="16.5" customHeight="1">
      <c r="A216" s="42" t="str">
        <f t="shared" si="7"/>
        <v>C215</v>
      </c>
      <c r="B216" s="42" t="s">
        <v>1029</v>
      </c>
      <c r="C216" s="22" t="s">
        <v>1039</v>
      </c>
      <c r="D216" s="42" t="s">
        <v>1042</v>
      </c>
      <c r="F216" s="48" t="s">
        <v>1043</v>
      </c>
      <c r="H216" s="21" t="s">
        <v>1044</v>
      </c>
      <c r="J216" s="22">
        <v>3</v>
      </c>
    </row>
    <row r="217" spans="1:10" ht="16.5" customHeight="1">
      <c r="H217" s="21"/>
      <c r="J217" s="22"/>
    </row>
    <row r="218" spans="1:10" ht="16.5" customHeight="1">
      <c r="A218" s="42" t="str">
        <f t="shared" ref="A218:A281" si="8">_xlfn.CONCAT("C",TEXT(ROW()-1,"000"))</f>
        <v>C217</v>
      </c>
      <c r="B218" s="42" t="s">
        <v>1045</v>
      </c>
      <c r="C218" s="22" t="s">
        <v>1046</v>
      </c>
      <c r="D218" s="42" t="s">
        <v>1047</v>
      </c>
      <c r="E218" s="42" t="s">
        <v>1048</v>
      </c>
      <c r="F218" s="22" t="s">
        <v>1049</v>
      </c>
    </row>
    <row r="219" spans="1:10" ht="16.5" customHeight="1">
      <c r="A219" s="42" t="str">
        <f t="shared" si="8"/>
        <v>C218</v>
      </c>
      <c r="B219" s="42" t="s">
        <v>1045</v>
      </c>
      <c r="C219" s="22" t="s">
        <v>1046</v>
      </c>
      <c r="D219" s="42" t="s">
        <v>1050</v>
      </c>
      <c r="E219" s="42" t="s">
        <v>1051</v>
      </c>
      <c r="F219" s="22" t="s">
        <v>1052</v>
      </c>
    </row>
    <row r="220" spans="1:10" ht="16.5" customHeight="1">
      <c r="A220" s="42" t="str">
        <f t="shared" si="8"/>
        <v>C219</v>
      </c>
      <c r="B220" s="42" t="s">
        <v>1045</v>
      </c>
      <c r="C220" s="22" t="s">
        <v>1046</v>
      </c>
      <c r="D220" s="42" t="s">
        <v>1053</v>
      </c>
      <c r="E220" s="42" t="s">
        <v>1054</v>
      </c>
      <c r="F220" s="22" t="s">
        <v>1055</v>
      </c>
      <c r="G220" t="s">
        <v>1056</v>
      </c>
      <c r="H220" s="22" t="s">
        <v>1057</v>
      </c>
    </row>
    <row r="221" spans="1:10" ht="16.5" customHeight="1">
      <c r="A221" s="42" t="str">
        <f t="shared" si="8"/>
        <v>C220</v>
      </c>
      <c r="B221" s="42" t="s">
        <v>1058</v>
      </c>
      <c r="C221" s="22" t="s">
        <v>1059</v>
      </c>
      <c r="D221" s="42" t="s">
        <v>1060</v>
      </c>
      <c r="F221" s="22" t="s">
        <v>1061</v>
      </c>
      <c r="H221" s="22" t="s">
        <v>1062</v>
      </c>
    </row>
    <row r="222" spans="1:10" ht="16.5" customHeight="1">
      <c r="A222" s="42" t="str">
        <f t="shared" si="8"/>
        <v>C221</v>
      </c>
      <c r="B222" s="42" t="s">
        <v>1063</v>
      </c>
      <c r="C222" s="22" t="s">
        <v>1064</v>
      </c>
      <c r="D222" s="42" t="s">
        <v>1065</v>
      </c>
      <c r="E222" s="42" t="s">
        <v>1066</v>
      </c>
      <c r="F222" s="22" t="s">
        <v>1067</v>
      </c>
      <c r="H222" s="22" t="s">
        <v>1068</v>
      </c>
      <c r="I222" s="22" t="s">
        <v>18</v>
      </c>
    </row>
    <row r="223" spans="1:10" ht="16.5" customHeight="1">
      <c r="A223" s="42" t="str">
        <f t="shared" si="8"/>
        <v>C222</v>
      </c>
      <c r="B223" s="42" t="s">
        <v>1063</v>
      </c>
      <c r="C223" s="22" t="s">
        <v>1064</v>
      </c>
      <c r="D223" s="42" t="s">
        <v>1069</v>
      </c>
      <c r="E223" s="42" t="s">
        <v>1070</v>
      </c>
      <c r="F223" s="22" t="s">
        <v>1071</v>
      </c>
      <c r="G223" t="s">
        <v>1072</v>
      </c>
      <c r="H223" s="22" t="s">
        <v>1073</v>
      </c>
      <c r="I223" s="22" t="s">
        <v>18</v>
      </c>
    </row>
    <row r="224" spans="1:10" ht="16.5" customHeight="1">
      <c r="A224" s="42" t="str">
        <f t="shared" si="8"/>
        <v>C223</v>
      </c>
      <c r="B224" s="42" t="s">
        <v>1063</v>
      </c>
      <c r="C224" s="22" t="s">
        <v>1064</v>
      </c>
      <c r="D224" s="42" t="s">
        <v>1074</v>
      </c>
      <c r="E224" s="42" t="s">
        <v>1075</v>
      </c>
      <c r="F224" s="22" t="s">
        <v>1076</v>
      </c>
      <c r="G224" t="s">
        <v>1077</v>
      </c>
      <c r="H224" s="22" t="s">
        <v>1078</v>
      </c>
      <c r="I224" s="22" t="s">
        <v>18</v>
      </c>
    </row>
    <row r="225" spans="1:11" ht="16.5" customHeight="1">
      <c r="A225" s="42" t="str">
        <f t="shared" si="8"/>
        <v>C224</v>
      </c>
      <c r="B225" s="42" t="s">
        <v>1063</v>
      </c>
      <c r="C225" s="22" t="s">
        <v>1064</v>
      </c>
      <c r="D225" s="42" t="s">
        <v>1079</v>
      </c>
      <c r="E225" s="42" t="s">
        <v>1080</v>
      </c>
      <c r="F225" s="21" t="s">
        <v>1081</v>
      </c>
      <c r="G225" t="s">
        <v>1082</v>
      </c>
      <c r="I225" s="22" t="s">
        <v>18</v>
      </c>
      <c r="K225" t="s">
        <v>390</v>
      </c>
    </row>
    <row r="226" spans="1:11" ht="16.5" customHeight="1">
      <c r="A226" s="42" t="str">
        <f t="shared" si="8"/>
        <v>C225</v>
      </c>
      <c r="B226" s="42" t="s">
        <v>1063</v>
      </c>
      <c r="C226" s="22" t="s">
        <v>1064</v>
      </c>
      <c r="D226" s="42" t="s">
        <v>1083</v>
      </c>
      <c r="E226" s="42" t="s">
        <v>1070</v>
      </c>
      <c r="I226" s="22" t="s">
        <v>18</v>
      </c>
    </row>
    <row r="227" spans="1:11" ht="16.5" customHeight="1">
      <c r="A227" s="42" t="str">
        <f t="shared" si="8"/>
        <v>C226</v>
      </c>
      <c r="B227" s="42" t="s">
        <v>1084</v>
      </c>
      <c r="C227" s="22" t="s">
        <v>1085</v>
      </c>
      <c r="D227" s="42" t="s">
        <v>1086</v>
      </c>
      <c r="E227" s="42" t="s">
        <v>827</v>
      </c>
      <c r="G227" t="s">
        <v>1087</v>
      </c>
      <c r="H227" s="22" t="s">
        <v>1088</v>
      </c>
      <c r="I227" s="22" t="s">
        <v>18</v>
      </c>
    </row>
    <row r="228" spans="1:11" ht="16.5" customHeight="1">
      <c r="A228" s="42" t="str">
        <f t="shared" si="8"/>
        <v>C227</v>
      </c>
      <c r="B228" s="42" t="s">
        <v>1084</v>
      </c>
      <c r="C228" s="22" t="s">
        <v>1085</v>
      </c>
      <c r="D228" s="42" t="s">
        <v>1089</v>
      </c>
      <c r="E228" s="42" t="s">
        <v>1090</v>
      </c>
      <c r="I228" s="22" t="s">
        <v>18</v>
      </c>
    </row>
    <row r="229" spans="1:11" ht="16.5" customHeight="1">
      <c r="A229" s="42" t="str">
        <f t="shared" si="8"/>
        <v>C228</v>
      </c>
      <c r="B229" s="42" t="s">
        <v>1084</v>
      </c>
      <c r="C229" s="22" t="s">
        <v>1085</v>
      </c>
      <c r="D229" s="42" t="s">
        <v>1091</v>
      </c>
      <c r="E229" s="42" t="s">
        <v>1092</v>
      </c>
      <c r="F229" s="22" t="s">
        <v>1093</v>
      </c>
      <c r="G229" t="s">
        <v>1094</v>
      </c>
      <c r="H229" s="22" t="s">
        <v>1095</v>
      </c>
      <c r="I229" s="22" t="s">
        <v>18</v>
      </c>
    </row>
    <row r="230" spans="1:11" ht="16.5" customHeight="1">
      <c r="A230" s="42" t="str">
        <f t="shared" si="8"/>
        <v>C229</v>
      </c>
      <c r="B230" s="42" t="s">
        <v>1084</v>
      </c>
      <c r="C230" s="22" t="s">
        <v>1085</v>
      </c>
      <c r="D230" s="42" t="s">
        <v>1091</v>
      </c>
      <c r="E230" s="42" t="s">
        <v>1080</v>
      </c>
      <c r="F230" s="22" t="s">
        <v>1093</v>
      </c>
      <c r="G230" t="s">
        <v>1096</v>
      </c>
      <c r="H230" s="22" t="s">
        <v>1097</v>
      </c>
      <c r="I230" s="22" t="s">
        <v>18</v>
      </c>
    </row>
    <row r="231" spans="1:11" ht="16.5" customHeight="1">
      <c r="A231" s="42" t="str">
        <f t="shared" si="8"/>
        <v>C230</v>
      </c>
      <c r="B231" s="42" t="s">
        <v>1098</v>
      </c>
      <c r="C231" s="22" t="s">
        <v>1099</v>
      </c>
      <c r="D231" s="42" t="s">
        <v>1100</v>
      </c>
      <c r="E231" s="42" t="s">
        <v>1101</v>
      </c>
      <c r="F231" s="22" t="s">
        <v>1102</v>
      </c>
      <c r="H231" s="22" t="s">
        <v>1103</v>
      </c>
    </row>
    <row r="232" spans="1:11" ht="16.5" customHeight="1">
      <c r="A232" s="42" t="str">
        <f t="shared" si="8"/>
        <v>C231</v>
      </c>
      <c r="B232" s="42" t="s">
        <v>1104</v>
      </c>
      <c r="C232" s="22" t="s">
        <v>1105</v>
      </c>
      <c r="D232" s="42" t="s">
        <v>1106</v>
      </c>
      <c r="E232" s="42" t="s">
        <v>583</v>
      </c>
      <c r="F232" s="22" t="s">
        <v>1107</v>
      </c>
      <c r="G232" t="s">
        <v>1108</v>
      </c>
      <c r="H232" s="22" t="s">
        <v>1109</v>
      </c>
      <c r="I232" s="22" t="s">
        <v>18</v>
      </c>
    </row>
    <row r="233" spans="1:11" ht="16.5" customHeight="1">
      <c r="A233" s="42" t="str">
        <f t="shared" si="8"/>
        <v>C232</v>
      </c>
      <c r="B233" s="42" t="s">
        <v>1104</v>
      </c>
      <c r="C233" s="22" t="s">
        <v>1105</v>
      </c>
      <c r="D233" s="42" t="s">
        <v>1110</v>
      </c>
      <c r="E233" s="42" t="s">
        <v>1101</v>
      </c>
      <c r="F233" s="22" t="s">
        <v>1111</v>
      </c>
      <c r="G233" t="s">
        <v>1112</v>
      </c>
      <c r="H233" s="22" t="s">
        <v>1113</v>
      </c>
      <c r="I233" s="22" t="s">
        <v>18</v>
      </c>
    </row>
    <row r="234" spans="1:11" ht="16.5" customHeight="1">
      <c r="A234" s="42" t="str">
        <f t="shared" si="8"/>
        <v>C233</v>
      </c>
      <c r="B234" s="42" t="s">
        <v>1104</v>
      </c>
      <c r="C234" s="22" t="s">
        <v>1105</v>
      </c>
      <c r="D234" s="42" t="s">
        <v>1114</v>
      </c>
      <c r="E234" s="42" t="s">
        <v>173</v>
      </c>
      <c r="F234" s="22" t="s">
        <v>1115</v>
      </c>
      <c r="G234" t="s">
        <v>1116</v>
      </c>
      <c r="H234" s="22" t="s">
        <v>1117</v>
      </c>
      <c r="I234" s="22" t="s">
        <v>18</v>
      </c>
    </row>
    <row r="235" spans="1:11" ht="16.5" customHeight="1">
      <c r="A235" s="42" t="str">
        <f t="shared" si="8"/>
        <v>C234</v>
      </c>
      <c r="B235" s="42" t="s">
        <v>1104</v>
      </c>
      <c r="C235" s="22" t="s">
        <v>1105</v>
      </c>
      <c r="D235" s="42" t="s">
        <v>1118</v>
      </c>
      <c r="E235" s="42" t="s">
        <v>1119</v>
      </c>
      <c r="F235" s="22" t="s">
        <v>1120</v>
      </c>
      <c r="G235" t="s">
        <v>1121</v>
      </c>
      <c r="H235" s="22" t="s">
        <v>1122</v>
      </c>
      <c r="I235" s="22" t="s">
        <v>18</v>
      </c>
      <c r="J235" s="42">
        <v>2</v>
      </c>
    </row>
    <row r="236" spans="1:11" ht="16.5" customHeight="1">
      <c r="A236" s="42" t="str">
        <f t="shared" si="8"/>
        <v>C235</v>
      </c>
      <c r="B236" s="42" t="s">
        <v>1104</v>
      </c>
      <c r="C236" s="22" t="s">
        <v>1105</v>
      </c>
      <c r="D236" s="42" t="s">
        <v>1123</v>
      </c>
      <c r="E236" s="42" t="s">
        <v>1124</v>
      </c>
      <c r="F236" s="22" t="s">
        <v>1125</v>
      </c>
      <c r="G236" t="s">
        <v>1126</v>
      </c>
      <c r="H236" s="22" t="s">
        <v>1127</v>
      </c>
      <c r="I236" s="22" t="s">
        <v>18</v>
      </c>
    </row>
    <row r="237" spans="1:11" ht="16.5" customHeight="1">
      <c r="A237" s="42" t="str">
        <f t="shared" si="8"/>
        <v>C236</v>
      </c>
      <c r="B237" s="42" t="s">
        <v>1128</v>
      </c>
      <c r="C237" s="22" t="s">
        <v>1129</v>
      </c>
      <c r="D237" s="42" t="s">
        <v>1130</v>
      </c>
      <c r="E237" s="42" t="s">
        <v>579</v>
      </c>
      <c r="F237" s="22" t="s">
        <v>1131</v>
      </c>
      <c r="H237" s="22" t="s">
        <v>1132</v>
      </c>
      <c r="I237" s="22" t="s">
        <v>18</v>
      </c>
      <c r="J237" s="42">
        <v>4</v>
      </c>
    </row>
    <row r="238" spans="1:11" ht="16.5" customHeight="1">
      <c r="A238" s="42" t="str">
        <f t="shared" si="8"/>
        <v>C237</v>
      </c>
      <c r="B238" s="42" t="s">
        <v>1128</v>
      </c>
      <c r="C238" s="22" t="s">
        <v>1129</v>
      </c>
      <c r="D238" s="42" t="s">
        <v>1133</v>
      </c>
      <c r="E238" s="42" t="s">
        <v>410</v>
      </c>
      <c r="F238" s="22" t="s">
        <v>1134</v>
      </c>
      <c r="G238" t="s">
        <v>1135</v>
      </c>
      <c r="H238" s="22" t="s">
        <v>1136</v>
      </c>
      <c r="I238" s="22" t="s">
        <v>18</v>
      </c>
      <c r="J238" s="42">
        <v>3</v>
      </c>
    </row>
    <row r="239" spans="1:11" ht="16.5" customHeight="1">
      <c r="A239" s="42" t="str">
        <f t="shared" si="8"/>
        <v>C238</v>
      </c>
      <c r="B239" s="42" t="s">
        <v>1128</v>
      </c>
      <c r="C239" s="22" t="s">
        <v>1129</v>
      </c>
      <c r="D239" s="42" t="s">
        <v>1137</v>
      </c>
      <c r="E239" s="42" t="s">
        <v>356</v>
      </c>
      <c r="F239" s="22" t="s">
        <v>1138</v>
      </c>
      <c r="G239" t="s">
        <v>1139</v>
      </c>
      <c r="H239" s="22" t="s">
        <v>1140</v>
      </c>
      <c r="I239" s="22" t="s">
        <v>18</v>
      </c>
      <c r="J239" s="42">
        <v>2</v>
      </c>
    </row>
    <row r="240" spans="1:11" ht="16.5" customHeight="1">
      <c r="A240" s="42" t="str">
        <f t="shared" si="8"/>
        <v>C239</v>
      </c>
      <c r="B240" s="42" t="s">
        <v>1141</v>
      </c>
      <c r="C240" s="22" t="s">
        <v>487</v>
      </c>
      <c r="D240" s="42" t="s">
        <v>1142</v>
      </c>
      <c r="E240" s="42" t="s">
        <v>319</v>
      </c>
      <c r="F240" s="22" t="s">
        <v>1143</v>
      </c>
      <c r="G240" t="s">
        <v>1144</v>
      </c>
      <c r="H240" s="22" t="s">
        <v>1145</v>
      </c>
      <c r="I240" s="22" t="s">
        <v>18</v>
      </c>
      <c r="J240" s="42">
        <v>4</v>
      </c>
    </row>
    <row r="241" spans="1:15" ht="16.5" customHeight="1">
      <c r="A241" s="42" t="str">
        <f t="shared" si="8"/>
        <v>C240</v>
      </c>
      <c r="B241" s="42" t="s">
        <v>1141</v>
      </c>
      <c r="C241" s="22" t="s">
        <v>487</v>
      </c>
      <c r="D241" s="42" t="s">
        <v>1146</v>
      </c>
      <c r="E241" s="42" t="s">
        <v>126</v>
      </c>
      <c r="F241" s="22" t="s">
        <v>1147</v>
      </c>
      <c r="G241" t="s">
        <v>1148</v>
      </c>
      <c r="H241" s="22" t="s">
        <v>1149</v>
      </c>
      <c r="I241" s="22" t="s">
        <v>18</v>
      </c>
      <c r="J241" s="42">
        <v>2</v>
      </c>
    </row>
    <row r="242" spans="1:15" ht="16.5" customHeight="1">
      <c r="A242" s="42" t="str">
        <f t="shared" si="8"/>
        <v>C241</v>
      </c>
      <c r="B242" s="42" t="s">
        <v>1141</v>
      </c>
      <c r="C242" s="22" t="s">
        <v>487</v>
      </c>
      <c r="D242" s="42" t="s">
        <v>1150</v>
      </c>
      <c r="E242" s="42" t="s">
        <v>410</v>
      </c>
      <c r="F242" s="22" t="s">
        <v>1151</v>
      </c>
      <c r="G242" t="s">
        <v>1152</v>
      </c>
      <c r="H242" s="22" t="s">
        <v>1153</v>
      </c>
      <c r="I242" s="22" t="s">
        <v>18</v>
      </c>
      <c r="J242" s="42">
        <v>2</v>
      </c>
    </row>
    <row r="243" spans="1:15" ht="16.5" customHeight="1">
      <c r="A243" s="42" t="str">
        <f t="shared" si="8"/>
        <v>C242</v>
      </c>
      <c r="B243" s="42" t="s">
        <v>1141</v>
      </c>
      <c r="C243" s="22" t="s">
        <v>487</v>
      </c>
      <c r="D243" s="42" t="s">
        <v>1154</v>
      </c>
      <c r="E243" s="42" t="s">
        <v>1155</v>
      </c>
      <c r="F243" s="22" t="s">
        <v>1156</v>
      </c>
      <c r="G243" t="s">
        <v>1157</v>
      </c>
      <c r="H243" s="22" t="s">
        <v>1158</v>
      </c>
      <c r="I243" s="22" t="s">
        <v>18</v>
      </c>
      <c r="J243" s="42">
        <v>2</v>
      </c>
    </row>
    <row r="244" spans="1:15" ht="16.5" customHeight="1">
      <c r="A244" s="42" t="str">
        <f t="shared" si="8"/>
        <v>C243</v>
      </c>
      <c r="B244" s="42" t="s">
        <v>1159</v>
      </c>
      <c r="C244" s="56" t="s">
        <v>1160</v>
      </c>
      <c r="D244" s="55" t="s">
        <v>1161</v>
      </c>
      <c r="E244" s="55" t="s">
        <v>1162</v>
      </c>
      <c r="F244" s="56" t="s">
        <v>1163</v>
      </c>
      <c r="G244" s="57" t="s">
        <v>1164</v>
      </c>
      <c r="H244" s="56"/>
      <c r="I244" s="56" t="s">
        <v>18</v>
      </c>
    </row>
    <row r="245" spans="1:15" ht="16.5" customHeight="1">
      <c r="A245" s="42" t="str">
        <f t="shared" si="8"/>
        <v>C244</v>
      </c>
      <c r="B245" s="42" t="s">
        <v>1159</v>
      </c>
      <c r="C245" s="56" t="s">
        <v>1160</v>
      </c>
      <c r="D245" s="55" t="s">
        <v>1165</v>
      </c>
      <c r="E245" s="55" t="s">
        <v>462</v>
      </c>
      <c r="F245" s="56" t="s">
        <v>1166</v>
      </c>
      <c r="G245" s="57"/>
      <c r="H245" s="56" t="s">
        <v>1167</v>
      </c>
      <c r="I245" s="56" t="s">
        <v>18</v>
      </c>
    </row>
    <row r="246" spans="1:15" ht="16.5" customHeight="1">
      <c r="A246" s="42" t="str">
        <f t="shared" si="8"/>
        <v>C245</v>
      </c>
      <c r="B246" s="42" t="s">
        <v>1159</v>
      </c>
      <c r="C246" s="56" t="s">
        <v>1160</v>
      </c>
      <c r="D246" s="55" t="s">
        <v>1168</v>
      </c>
      <c r="E246" s="55" t="s">
        <v>1169</v>
      </c>
      <c r="F246" s="72" t="s">
        <v>1170</v>
      </c>
      <c r="G246" s="57" t="s">
        <v>1171</v>
      </c>
      <c r="H246" s="72" t="s">
        <v>1172</v>
      </c>
      <c r="I246" s="56" t="s">
        <v>18</v>
      </c>
      <c r="J246" s="22">
        <v>2</v>
      </c>
    </row>
    <row r="247" spans="1:15" ht="16.5" customHeight="1">
      <c r="A247" s="42" t="str">
        <f t="shared" si="8"/>
        <v>C246</v>
      </c>
      <c r="B247" s="42" t="s">
        <v>1159</v>
      </c>
      <c r="C247" s="56" t="s">
        <v>1160</v>
      </c>
      <c r="D247" s="55" t="s">
        <v>1173</v>
      </c>
      <c r="E247" s="55" t="s">
        <v>462</v>
      </c>
      <c r="F247" s="56" t="s">
        <v>1174</v>
      </c>
      <c r="G247" s="57"/>
      <c r="H247" s="56" t="s">
        <v>1175</v>
      </c>
      <c r="I247" s="56" t="s">
        <v>18</v>
      </c>
    </row>
    <row r="248" spans="1:15" ht="16.5" customHeight="1">
      <c r="A248" s="42" t="str">
        <f t="shared" si="8"/>
        <v>C247</v>
      </c>
      <c r="B248" s="42" t="s">
        <v>1159</v>
      </c>
      <c r="C248" s="56" t="s">
        <v>1160</v>
      </c>
      <c r="D248" s="55" t="s">
        <v>1176</v>
      </c>
      <c r="E248" s="55" t="s">
        <v>1177</v>
      </c>
      <c r="F248" s="56" t="s">
        <v>1178</v>
      </c>
      <c r="G248" s="57" t="s">
        <v>1179</v>
      </c>
      <c r="H248" s="56" t="s">
        <v>1180</v>
      </c>
      <c r="I248" s="56" t="s">
        <v>18</v>
      </c>
    </row>
    <row r="249" spans="1:15" ht="16.5" customHeight="1">
      <c r="A249" s="42" t="str">
        <f t="shared" si="8"/>
        <v>C248</v>
      </c>
      <c r="B249" s="42" t="s">
        <v>1159</v>
      </c>
      <c r="C249" s="22" t="s">
        <v>1160</v>
      </c>
      <c r="D249" s="42" t="s">
        <v>1181</v>
      </c>
      <c r="E249" s="42" t="s">
        <v>1182</v>
      </c>
      <c r="F249" s="22" t="s">
        <v>1183</v>
      </c>
      <c r="G249" t="s">
        <v>1184</v>
      </c>
      <c r="H249" s="22" t="s">
        <v>1185</v>
      </c>
      <c r="I249" s="22" t="s">
        <v>18</v>
      </c>
    </row>
    <row r="250" spans="1:15" ht="16.5" customHeight="1">
      <c r="A250" s="42" t="str">
        <f t="shared" si="8"/>
        <v>C249</v>
      </c>
      <c r="B250" s="42" t="s">
        <v>834</v>
      </c>
      <c r="C250" s="22" t="s">
        <v>835</v>
      </c>
      <c r="D250" s="42" t="s">
        <v>846</v>
      </c>
      <c r="E250" s="42" t="s">
        <v>202</v>
      </c>
      <c r="F250" s="22" t="s">
        <v>847</v>
      </c>
      <c r="H250" s="22" t="s">
        <v>1186</v>
      </c>
      <c r="I250" s="22" t="s">
        <v>18</v>
      </c>
    </row>
    <row r="251" spans="1:15" ht="16.5" customHeight="1">
      <c r="A251" s="42" t="str">
        <f t="shared" si="8"/>
        <v>C250</v>
      </c>
      <c r="B251" s="42" t="s">
        <v>834</v>
      </c>
      <c r="C251" s="22" t="s">
        <v>835</v>
      </c>
      <c r="D251" s="42" t="s">
        <v>1168</v>
      </c>
      <c r="E251" s="42" t="s">
        <v>1187</v>
      </c>
      <c r="J251" s="22"/>
    </row>
    <row r="252" spans="1:15" ht="16.5" customHeight="1">
      <c r="A252" s="42" t="str">
        <f t="shared" si="8"/>
        <v>C251</v>
      </c>
      <c r="B252" s="42" t="s">
        <v>834</v>
      </c>
      <c r="C252" s="22" t="s">
        <v>835</v>
      </c>
      <c r="D252" s="42" t="s">
        <v>836</v>
      </c>
      <c r="E252" s="42" t="s">
        <v>356</v>
      </c>
      <c r="F252" s="22" t="s">
        <v>838</v>
      </c>
      <c r="G252" t="s">
        <v>1188</v>
      </c>
      <c r="H252" s="22" t="s">
        <v>1189</v>
      </c>
      <c r="I252" s="22" t="s">
        <v>18</v>
      </c>
    </row>
    <row r="253" spans="1:15" ht="16.5" customHeight="1">
      <c r="A253" s="42" t="str">
        <f t="shared" si="8"/>
        <v>C252</v>
      </c>
      <c r="B253" s="42" t="s">
        <v>834</v>
      </c>
      <c r="C253" s="22" t="s">
        <v>835</v>
      </c>
      <c r="D253" s="42" t="s">
        <v>841</v>
      </c>
      <c r="E253" s="42" t="s">
        <v>178</v>
      </c>
      <c r="F253" s="22" t="s">
        <v>843</v>
      </c>
      <c r="G253" t="s">
        <v>1190</v>
      </c>
      <c r="H253" s="22" t="s">
        <v>1191</v>
      </c>
      <c r="I253" s="22" t="s">
        <v>18</v>
      </c>
    </row>
    <row r="254" spans="1:15" ht="16.5" customHeight="1">
      <c r="A254" s="42" t="str">
        <f t="shared" si="8"/>
        <v>C253</v>
      </c>
      <c r="B254" s="42" t="s">
        <v>1192</v>
      </c>
      <c r="C254" s="22" t="s">
        <v>151</v>
      </c>
      <c r="D254" s="42" t="s">
        <v>1193</v>
      </c>
      <c r="E254" s="42" t="s">
        <v>224</v>
      </c>
      <c r="F254" s="22" t="s">
        <v>1194</v>
      </c>
      <c r="H254" s="22" t="s">
        <v>1195</v>
      </c>
      <c r="I254" s="22" t="s">
        <v>18</v>
      </c>
    </row>
    <row r="255" spans="1:15" ht="16.5" customHeight="1">
      <c r="A255" s="42" t="str">
        <f t="shared" si="8"/>
        <v>C254</v>
      </c>
      <c r="B255" s="42" t="s">
        <v>1192</v>
      </c>
      <c r="C255" s="22" t="s">
        <v>151</v>
      </c>
      <c r="D255" s="42" t="s">
        <v>1196</v>
      </c>
      <c r="E255" s="42" t="s">
        <v>1197</v>
      </c>
      <c r="F255" s="22" t="s">
        <v>1198</v>
      </c>
      <c r="G255" t="s">
        <v>1199</v>
      </c>
      <c r="I255" s="22" t="s">
        <v>18</v>
      </c>
      <c r="J255" s="42">
        <v>3</v>
      </c>
    </row>
    <row r="256" spans="1:15" ht="16.5" customHeight="1">
      <c r="A256" s="42" t="str">
        <f t="shared" si="8"/>
        <v>C255</v>
      </c>
      <c r="B256" s="42" t="s">
        <v>1192</v>
      </c>
      <c r="C256" s="22" t="s">
        <v>151</v>
      </c>
      <c r="D256" s="42" t="s">
        <v>1200</v>
      </c>
      <c r="E256" s="42" t="s">
        <v>1201</v>
      </c>
      <c r="F256" s="22" t="s">
        <v>1202</v>
      </c>
      <c r="G256" t="s">
        <v>1203</v>
      </c>
      <c r="H256" s="22" t="s">
        <v>1204</v>
      </c>
      <c r="I256" s="22" t="s">
        <v>18</v>
      </c>
      <c r="J256" s="42">
        <v>5</v>
      </c>
      <c r="N256" t="s">
        <v>1205</v>
      </c>
      <c r="O256" t="s">
        <v>1206</v>
      </c>
    </row>
    <row r="257" spans="1:10" ht="16.5" customHeight="1">
      <c r="A257" s="42" t="str">
        <f t="shared" si="8"/>
        <v>C256</v>
      </c>
      <c r="B257" s="42" t="s">
        <v>449</v>
      </c>
      <c r="C257" s="22" t="s">
        <v>450</v>
      </c>
      <c r="D257" s="42" t="s">
        <v>1207</v>
      </c>
      <c r="E257" s="42" t="s">
        <v>1208</v>
      </c>
      <c r="F257" s="22" t="s">
        <v>1209</v>
      </c>
      <c r="G257" t="s">
        <v>1210</v>
      </c>
      <c r="H257" s="22" t="s">
        <v>1211</v>
      </c>
      <c r="I257" s="22" t="s">
        <v>18</v>
      </c>
    </row>
    <row r="258" spans="1:10" ht="16.5" customHeight="1">
      <c r="A258" s="42" t="str">
        <f t="shared" si="8"/>
        <v>C257</v>
      </c>
      <c r="B258" s="42" t="s">
        <v>449</v>
      </c>
      <c r="C258" s="22" t="s">
        <v>450</v>
      </c>
      <c r="D258" s="42" t="s">
        <v>451</v>
      </c>
      <c r="E258" s="42" t="s">
        <v>319</v>
      </c>
      <c r="F258" s="21" t="s">
        <v>452</v>
      </c>
      <c r="G258" t="s">
        <v>1212</v>
      </c>
      <c r="H258" s="22" t="s">
        <v>1213</v>
      </c>
      <c r="I258" s="22" t="s">
        <v>18</v>
      </c>
    </row>
    <row r="259" spans="1:10" ht="16.5" customHeight="1">
      <c r="A259" s="42" t="str">
        <f t="shared" si="8"/>
        <v>C258</v>
      </c>
      <c r="B259" s="42" t="s">
        <v>449</v>
      </c>
      <c r="C259" s="22" t="s">
        <v>450</v>
      </c>
      <c r="D259" s="42" t="s">
        <v>1214</v>
      </c>
      <c r="E259" s="42" t="s">
        <v>478</v>
      </c>
      <c r="F259" s="22" t="s">
        <v>1215</v>
      </c>
      <c r="G259" t="s">
        <v>1216</v>
      </c>
      <c r="H259" s="22" t="s">
        <v>1217</v>
      </c>
      <c r="I259" s="22" t="s">
        <v>18</v>
      </c>
    </row>
    <row r="260" spans="1:10" ht="16.5" customHeight="1">
      <c r="A260" s="42" t="str">
        <f t="shared" si="8"/>
        <v>C259</v>
      </c>
      <c r="B260" s="42" t="s">
        <v>449</v>
      </c>
      <c r="C260" s="22" t="s">
        <v>450</v>
      </c>
      <c r="D260" s="42" t="s">
        <v>1218</v>
      </c>
      <c r="E260" s="42" t="s">
        <v>1219</v>
      </c>
      <c r="F260" s="22" t="s">
        <v>1220</v>
      </c>
      <c r="G260" t="s">
        <v>1221</v>
      </c>
      <c r="H260" s="22" t="s">
        <v>1222</v>
      </c>
      <c r="I260" s="22" t="s">
        <v>18</v>
      </c>
    </row>
    <row r="261" spans="1:10" ht="16.5" customHeight="1">
      <c r="A261" s="42" t="str">
        <f t="shared" si="8"/>
        <v>C260</v>
      </c>
      <c r="B261" s="42" t="s">
        <v>1223</v>
      </c>
      <c r="C261" s="22" t="s">
        <v>1224</v>
      </c>
      <c r="D261" s="42" t="s">
        <v>1225</v>
      </c>
      <c r="E261" s="42" t="s">
        <v>1226</v>
      </c>
      <c r="F261" s="22" t="s">
        <v>1227</v>
      </c>
      <c r="G261" t="s">
        <v>1228</v>
      </c>
      <c r="H261" s="22" t="s">
        <v>1229</v>
      </c>
      <c r="I261" s="22" t="s">
        <v>18</v>
      </c>
      <c r="J261" s="42">
        <v>4</v>
      </c>
    </row>
    <row r="262" spans="1:10" ht="16.5" customHeight="1">
      <c r="A262" s="42" t="str">
        <f t="shared" si="8"/>
        <v>C261</v>
      </c>
      <c r="B262" s="42" t="s">
        <v>1223</v>
      </c>
      <c r="C262" s="22" t="s">
        <v>1224</v>
      </c>
      <c r="D262" s="42" t="s">
        <v>1230</v>
      </c>
      <c r="E262" s="42" t="s">
        <v>410</v>
      </c>
      <c r="F262" s="22" t="s">
        <v>1231</v>
      </c>
      <c r="G262" t="s">
        <v>1232</v>
      </c>
      <c r="H262" s="22" t="s">
        <v>1233</v>
      </c>
      <c r="I262" s="22" t="s">
        <v>18</v>
      </c>
      <c r="J262" s="42">
        <v>3</v>
      </c>
    </row>
    <row r="263" spans="1:10" ht="16.5" customHeight="1">
      <c r="A263" s="42" t="str">
        <f t="shared" si="8"/>
        <v>C262</v>
      </c>
      <c r="B263" s="42" t="s">
        <v>1223</v>
      </c>
      <c r="C263" s="22" t="s">
        <v>1224</v>
      </c>
      <c r="D263" s="42" t="s">
        <v>1234</v>
      </c>
      <c r="E263" s="42" t="s">
        <v>1017</v>
      </c>
      <c r="F263" s="22" t="s">
        <v>1235</v>
      </c>
      <c r="H263" s="22" t="s">
        <v>1236</v>
      </c>
      <c r="I263" s="22" t="s">
        <v>18</v>
      </c>
      <c r="J263" s="42">
        <v>4</v>
      </c>
    </row>
    <row r="264" spans="1:10" ht="16.5" customHeight="1">
      <c r="A264" s="42" t="str">
        <f t="shared" si="8"/>
        <v>C263</v>
      </c>
      <c r="B264" s="42" t="s">
        <v>1223</v>
      </c>
      <c r="C264" s="22" t="s">
        <v>1224</v>
      </c>
      <c r="D264" s="42" t="s">
        <v>1237</v>
      </c>
      <c r="E264" s="42" t="s">
        <v>1238</v>
      </c>
      <c r="F264" s="22" t="s">
        <v>1239</v>
      </c>
      <c r="G264" t="s">
        <v>1240</v>
      </c>
      <c r="H264" s="22" t="s">
        <v>1241</v>
      </c>
      <c r="I264" s="22" t="s">
        <v>18</v>
      </c>
      <c r="J264" s="42">
        <v>6</v>
      </c>
    </row>
    <row r="265" spans="1:10" ht="16.5" customHeight="1">
      <c r="A265" s="42" t="str">
        <f t="shared" si="8"/>
        <v>C264</v>
      </c>
      <c r="B265" s="42" t="s">
        <v>1223</v>
      </c>
      <c r="C265" s="22" t="s">
        <v>1224</v>
      </c>
      <c r="D265" s="42" t="s">
        <v>1242</v>
      </c>
      <c r="E265" s="42" t="s">
        <v>673</v>
      </c>
      <c r="F265" s="48" t="s">
        <v>1243</v>
      </c>
      <c r="H265" s="21" t="s">
        <v>1244</v>
      </c>
      <c r="I265" s="22" t="s">
        <v>18</v>
      </c>
      <c r="J265" s="22">
        <v>1</v>
      </c>
    </row>
    <row r="266" spans="1:10" ht="16.5" customHeight="1">
      <c r="A266" s="42" t="str">
        <f t="shared" si="8"/>
        <v>C265</v>
      </c>
      <c r="B266" s="42" t="s">
        <v>54</v>
      </c>
      <c r="C266" s="22" t="s">
        <v>354</v>
      </c>
      <c r="D266" s="42" t="s">
        <v>1245</v>
      </c>
      <c r="E266" s="42" t="s">
        <v>1246</v>
      </c>
      <c r="F266" s="22" t="s">
        <v>1247</v>
      </c>
      <c r="G266" t="s">
        <v>1248</v>
      </c>
      <c r="H266" s="22" t="s">
        <v>1249</v>
      </c>
      <c r="I266" s="22" t="s">
        <v>18</v>
      </c>
    </row>
    <row r="267" spans="1:10" ht="16.5" customHeight="1">
      <c r="A267" s="42" t="str">
        <f t="shared" si="8"/>
        <v>C266</v>
      </c>
      <c r="B267" s="42" t="s">
        <v>54</v>
      </c>
      <c r="C267" s="22" t="s">
        <v>354</v>
      </c>
      <c r="D267" s="42" t="s">
        <v>1250</v>
      </c>
      <c r="E267" s="42" t="s">
        <v>426</v>
      </c>
      <c r="F267" s="22" t="s">
        <v>1251</v>
      </c>
      <c r="I267" s="22" t="s">
        <v>18</v>
      </c>
    </row>
    <row r="268" spans="1:10" ht="16.5" customHeight="1">
      <c r="A268" s="42" t="str">
        <f t="shared" si="8"/>
        <v>C267</v>
      </c>
      <c r="B268" s="42" t="s">
        <v>54</v>
      </c>
      <c r="C268" s="22" t="s">
        <v>354</v>
      </c>
      <c r="D268" s="42" t="s">
        <v>1252</v>
      </c>
      <c r="E268" s="42" t="s">
        <v>696</v>
      </c>
      <c r="F268" s="22" t="s">
        <v>1253</v>
      </c>
      <c r="G268" t="s">
        <v>1254</v>
      </c>
    </row>
    <row r="269" spans="1:10" ht="16.5" customHeight="1">
      <c r="A269" s="42" t="str">
        <f t="shared" si="8"/>
        <v>C268</v>
      </c>
      <c r="B269" s="42" t="s">
        <v>1255</v>
      </c>
      <c r="C269" s="22" t="s">
        <v>1256</v>
      </c>
      <c r="D269" s="42" t="s">
        <v>1257</v>
      </c>
      <c r="E269" s="42" t="s">
        <v>596</v>
      </c>
      <c r="F269" s="22" t="s">
        <v>1258</v>
      </c>
      <c r="G269" t="s">
        <v>1259</v>
      </c>
      <c r="H269" s="21" t="s">
        <v>1260</v>
      </c>
      <c r="I269" s="22" t="s">
        <v>18</v>
      </c>
    </row>
    <row r="270" spans="1:10" ht="16.5" customHeight="1">
      <c r="A270" s="42" t="str">
        <f t="shared" si="8"/>
        <v>C269</v>
      </c>
      <c r="B270" s="42" t="s">
        <v>1261</v>
      </c>
      <c r="C270" s="22" t="s">
        <v>1262</v>
      </c>
      <c r="D270" s="42" t="s">
        <v>1263</v>
      </c>
      <c r="E270" s="42" t="s">
        <v>1264</v>
      </c>
      <c r="F270" s="22" t="s">
        <v>1265</v>
      </c>
      <c r="H270" s="22" t="s">
        <v>1266</v>
      </c>
      <c r="I270" s="22" t="s">
        <v>18</v>
      </c>
    </row>
    <row r="271" spans="1:10" ht="16.5" customHeight="1">
      <c r="A271" s="42" t="str">
        <f t="shared" si="8"/>
        <v>C270</v>
      </c>
      <c r="B271" s="42" t="s">
        <v>1267</v>
      </c>
      <c r="C271" s="22" t="s">
        <v>1268</v>
      </c>
      <c r="D271" s="42" t="s">
        <v>1269</v>
      </c>
      <c r="E271" s="42" t="s">
        <v>1270</v>
      </c>
      <c r="F271" s="22" t="s">
        <v>1271</v>
      </c>
      <c r="H271" s="22" t="s">
        <v>1272</v>
      </c>
      <c r="I271" s="22" t="s">
        <v>18</v>
      </c>
    </row>
    <row r="272" spans="1:10" ht="16.5" customHeight="1">
      <c r="A272" s="42" t="str">
        <f t="shared" si="8"/>
        <v>C271</v>
      </c>
      <c r="B272" s="42" t="s">
        <v>1273</v>
      </c>
      <c r="C272" s="22" t="s">
        <v>1274</v>
      </c>
      <c r="D272" s="42" t="s">
        <v>1275</v>
      </c>
      <c r="E272" s="42" t="s">
        <v>1276</v>
      </c>
    </row>
    <row r="273" spans="1:9" ht="16.5" customHeight="1">
      <c r="A273" s="42" t="str">
        <f t="shared" si="8"/>
        <v>C272</v>
      </c>
      <c r="B273" s="42" t="s">
        <v>1273</v>
      </c>
      <c r="C273" s="22" t="s">
        <v>1274</v>
      </c>
      <c r="D273" s="42" t="s">
        <v>1277</v>
      </c>
      <c r="E273" s="42" t="s">
        <v>1278</v>
      </c>
      <c r="F273" s="22" t="s">
        <v>1279</v>
      </c>
    </row>
    <row r="274" spans="1:9" ht="16.5" customHeight="1">
      <c r="A274" s="42" t="str">
        <f t="shared" si="8"/>
        <v>C273</v>
      </c>
      <c r="B274" s="42" t="s">
        <v>1273</v>
      </c>
      <c r="C274" s="22" t="s">
        <v>1274</v>
      </c>
      <c r="D274" s="42" t="s">
        <v>1280</v>
      </c>
      <c r="E274" s="42" t="s">
        <v>1281</v>
      </c>
      <c r="F274" s="22" t="s">
        <v>1282</v>
      </c>
    </row>
    <row r="275" spans="1:9" ht="16.5" customHeight="1">
      <c r="A275" s="42" t="str">
        <f t="shared" si="8"/>
        <v>C274</v>
      </c>
      <c r="B275" s="42" t="s">
        <v>1273</v>
      </c>
      <c r="C275" s="22" t="s">
        <v>1274</v>
      </c>
      <c r="D275" s="42" t="s">
        <v>1283</v>
      </c>
      <c r="E275" s="42" t="s">
        <v>1284</v>
      </c>
      <c r="F275" s="22" t="s">
        <v>1285</v>
      </c>
      <c r="I275" s="22" t="s">
        <v>18</v>
      </c>
    </row>
    <row r="276" spans="1:9" ht="16.5" customHeight="1">
      <c r="A276" s="42" t="str">
        <f t="shared" si="8"/>
        <v>C275</v>
      </c>
      <c r="B276" s="42" t="s">
        <v>1273</v>
      </c>
      <c r="C276" s="22" t="s">
        <v>1274</v>
      </c>
      <c r="D276" s="42" t="s">
        <v>1286</v>
      </c>
      <c r="E276" s="42" t="s">
        <v>1287</v>
      </c>
      <c r="F276" s="22" t="s">
        <v>1288</v>
      </c>
    </row>
    <row r="277" spans="1:9" ht="16.5" customHeight="1">
      <c r="A277" s="42" t="str">
        <f t="shared" si="8"/>
        <v>C276</v>
      </c>
      <c r="B277" s="42" t="s">
        <v>1289</v>
      </c>
      <c r="C277" s="22" t="s">
        <v>1290</v>
      </c>
      <c r="D277" s="42" t="s">
        <v>1291</v>
      </c>
      <c r="E277" s="42" t="s">
        <v>1292</v>
      </c>
      <c r="F277" s="22" t="s">
        <v>1293</v>
      </c>
      <c r="I277" s="22" t="s">
        <v>18</v>
      </c>
    </row>
    <row r="278" spans="1:9" ht="16.5" customHeight="1">
      <c r="A278" s="42" t="str">
        <f t="shared" si="8"/>
        <v>C277</v>
      </c>
      <c r="B278" s="42" t="s">
        <v>1289</v>
      </c>
      <c r="C278" s="22" t="s">
        <v>1290</v>
      </c>
      <c r="D278" s="42" t="s">
        <v>1294</v>
      </c>
      <c r="E278" s="42" t="s">
        <v>1295</v>
      </c>
      <c r="F278" s="22" t="s">
        <v>1296</v>
      </c>
    </row>
    <row r="279" spans="1:9" ht="16.5" customHeight="1">
      <c r="A279" s="42" t="str">
        <f t="shared" si="8"/>
        <v>C278</v>
      </c>
      <c r="B279" s="42" t="s">
        <v>1297</v>
      </c>
      <c r="C279" s="22" t="s">
        <v>730</v>
      </c>
      <c r="D279" s="42" t="s">
        <v>1298</v>
      </c>
      <c r="E279" s="42" t="s">
        <v>1299</v>
      </c>
      <c r="F279" s="22" t="s">
        <v>1300</v>
      </c>
    </row>
    <row r="280" spans="1:9" ht="16.5" customHeight="1">
      <c r="A280" s="42" t="str">
        <f t="shared" si="8"/>
        <v>C279</v>
      </c>
      <c r="B280" s="42" t="s">
        <v>1297</v>
      </c>
      <c r="C280" s="22" t="s">
        <v>730</v>
      </c>
      <c r="D280" s="42" t="s">
        <v>1301</v>
      </c>
      <c r="E280" s="42" t="s">
        <v>1302</v>
      </c>
      <c r="F280" s="22" t="s">
        <v>1303</v>
      </c>
    </row>
    <row r="281" spans="1:9" ht="16.5" customHeight="1">
      <c r="A281" s="42" t="str">
        <f t="shared" si="8"/>
        <v>C280</v>
      </c>
      <c r="B281" s="42" t="s">
        <v>1297</v>
      </c>
      <c r="C281" s="22" t="s">
        <v>730</v>
      </c>
      <c r="D281" s="42" t="s">
        <v>1304</v>
      </c>
      <c r="E281" s="42" t="s">
        <v>1305</v>
      </c>
      <c r="F281" s="22" t="s">
        <v>1306</v>
      </c>
    </row>
    <row r="282" spans="1:9" ht="16.5" customHeight="1">
      <c r="A282" s="42" t="str">
        <f t="shared" ref="A282:A345" si="9">_xlfn.CONCAT("C",TEXT(ROW()-1,"000"))</f>
        <v>C281</v>
      </c>
      <c r="B282" s="42" t="s">
        <v>1297</v>
      </c>
      <c r="C282" s="22" t="s">
        <v>730</v>
      </c>
      <c r="D282" s="42" t="s">
        <v>1307</v>
      </c>
      <c r="E282" s="42" t="s">
        <v>1308</v>
      </c>
    </row>
    <row r="283" spans="1:9" ht="16.5" customHeight="1">
      <c r="A283" s="42" t="str">
        <f t="shared" si="9"/>
        <v>C282</v>
      </c>
      <c r="B283" s="42" t="s">
        <v>1297</v>
      </c>
      <c r="C283" s="22" t="s">
        <v>730</v>
      </c>
      <c r="D283" s="42" t="s">
        <v>1309</v>
      </c>
      <c r="E283" s="42" t="s">
        <v>1310</v>
      </c>
      <c r="F283" s="22" t="s">
        <v>1311</v>
      </c>
    </row>
    <row r="284" spans="1:9" ht="16.5" customHeight="1">
      <c r="A284" s="42" t="str">
        <f t="shared" si="9"/>
        <v>C283</v>
      </c>
      <c r="B284" s="42" t="s">
        <v>1312</v>
      </c>
      <c r="C284" s="22" t="s">
        <v>442</v>
      </c>
      <c r="D284" s="42" t="s">
        <v>1313</v>
      </c>
      <c r="E284" s="42" t="s">
        <v>62</v>
      </c>
      <c r="F284" s="22" t="s">
        <v>1314</v>
      </c>
    </row>
    <row r="285" spans="1:9" ht="16.5" customHeight="1">
      <c r="A285" s="42" t="str">
        <f t="shared" si="9"/>
        <v>C284</v>
      </c>
      <c r="B285" s="42" t="s">
        <v>1312</v>
      </c>
      <c r="C285" s="22" t="s">
        <v>442</v>
      </c>
      <c r="D285" s="42" t="s">
        <v>1315</v>
      </c>
      <c r="E285" s="42" t="s">
        <v>1316</v>
      </c>
      <c r="F285" s="22" t="s">
        <v>1317</v>
      </c>
    </row>
    <row r="286" spans="1:9" ht="16.5" customHeight="1">
      <c r="A286" s="42" t="str">
        <f t="shared" si="9"/>
        <v>C285</v>
      </c>
      <c r="B286" s="42" t="s">
        <v>1312</v>
      </c>
      <c r="C286" s="22" t="s">
        <v>442</v>
      </c>
      <c r="D286" s="42" t="s">
        <v>1318</v>
      </c>
      <c r="E286" s="42" t="s">
        <v>1319</v>
      </c>
      <c r="F286" s="22" t="s">
        <v>1320</v>
      </c>
    </row>
    <row r="287" spans="1:9" ht="16.5" customHeight="1">
      <c r="A287" s="42" t="str">
        <f t="shared" si="9"/>
        <v>C286</v>
      </c>
      <c r="B287" s="42" t="s">
        <v>1312</v>
      </c>
      <c r="C287" s="22" t="s">
        <v>442</v>
      </c>
      <c r="D287" s="42" t="s">
        <v>1321</v>
      </c>
      <c r="E287" s="42" t="s">
        <v>1322</v>
      </c>
      <c r="F287" s="22" t="s">
        <v>1323</v>
      </c>
    </row>
    <row r="288" spans="1:9" ht="16.5" customHeight="1">
      <c r="A288" s="42" t="str">
        <f t="shared" si="9"/>
        <v>C287</v>
      </c>
      <c r="B288" s="42" t="s">
        <v>1312</v>
      </c>
      <c r="C288" s="22" t="s">
        <v>442</v>
      </c>
      <c r="D288" s="42" t="s">
        <v>1324</v>
      </c>
      <c r="E288" s="42" t="s">
        <v>1325</v>
      </c>
      <c r="F288" s="22" t="s">
        <v>1326</v>
      </c>
    </row>
    <row r="289" spans="1:9" ht="16.5" customHeight="1">
      <c r="A289" s="42" t="str">
        <f t="shared" si="9"/>
        <v>C288</v>
      </c>
      <c r="B289" s="42" t="s">
        <v>1327</v>
      </c>
      <c r="C289" s="22" t="s">
        <v>1328</v>
      </c>
      <c r="D289" s="42" t="s">
        <v>1329</v>
      </c>
      <c r="E289" s="42" t="s">
        <v>202</v>
      </c>
      <c r="F289" s="22" t="s">
        <v>1330</v>
      </c>
    </row>
    <row r="290" spans="1:9" ht="16.5" customHeight="1">
      <c r="A290" s="42" t="str">
        <f t="shared" si="9"/>
        <v>C289</v>
      </c>
      <c r="B290" s="42" t="s">
        <v>1327</v>
      </c>
      <c r="C290" s="22" t="s">
        <v>1328</v>
      </c>
      <c r="D290" s="42" t="s">
        <v>1331</v>
      </c>
      <c r="E290" s="42" t="s">
        <v>1332</v>
      </c>
      <c r="F290" s="22" t="s">
        <v>1333</v>
      </c>
    </row>
    <row r="291" spans="1:9" ht="16.5" customHeight="1">
      <c r="A291" s="42" t="str">
        <f t="shared" si="9"/>
        <v>C290</v>
      </c>
      <c r="B291" s="42" t="s">
        <v>1327</v>
      </c>
      <c r="C291" s="22" t="s">
        <v>1328</v>
      </c>
      <c r="D291" s="42" t="s">
        <v>1334</v>
      </c>
      <c r="E291" s="42" t="s">
        <v>1335</v>
      </c>
      <c r="F291" s="22" t="s">
        <v>1336</v>
      </c>
    </row>
    <row r="292" spans="1:9" ht="16.5" customHeight="1">
      <c r="A292" s="42" t="str">
        <f t="shared" si="9"/>
        <v>C291</v>
      </c>
      <c r="B292" s="42" t="s">
        <v>1327</v>
      </c>
      <c r="C292" s="22" t="s">
        <v>1328</v>
      </c>
      <c r="D292" s="42" t="s">
        <v>1337</v>
      </c>
      <c r="E292" s="42" t="s">
        <v>1338</v>
      </c>
      <c r="F292" s="22" t="s">
        <v>1339</v>
      </c>
    </row>
    <row r="293" spans="1:9" ht="16.5" customHeight="1">
      <c r="A293" s="42" t="str">
        <f t="shared" si="9"/>
        <v>C292</v>
      </c>
      <c r="B293" s="42" t="s">
        <v>1327</v>
      </c>
      <c r="C293" s="22" t="s">
        <v>1328</v>
      </c>
      <c r="D293" s="42" t="s">
        <v>1340</v>
      </c>
      <c r="E293" s="42" t="s">
        <v>673</v>
      </c>
      <c r="F293" s="22" t="s">
        <v>1341</v>
      </c>
    </row>
    <row r="294" spans="1:9" ht="16.5" customHeight="1">
      <c r="A294" s="42" t="str">
        <f t="shared" si="9"/>
        <v>C293</v>
      </c>
      <c r="B294" s="42" t="s">
        <v>1327</v>
      </c>
      <c r="C294" s="22" t="s">
        <v>1328</v>
      </c>
      <c r="D294" s="42" t="s">
        <v>1342</v>
      </c>
      <c r="E294" s="42" t="s">
        <v>1021</v>
      </c>
      <c r="F294" s="22" t="s">
        <v>1333</v>
      </c>
    </row>
    <row r="295" spans="1:9" ht="16.5" customHeight="1">
      <c r="A295" s="42" t="str">
        <f t="shared" si="9"/>
        <v>C294</v>
      </c>
      <c r="B295" s="42" t="s">
        <v>1327</v>
      </c>
      <c r="C295" s="22" t="s">
        <v>1328</v>
      </c>
      <c r="D295" s="42" t="s">
        <v>1343</v>
      </c>
      <c r="E295" s="42" t="s">
        <v>1344</v>
      </c>
      <c r="F295" s="22" t="s">
        <v>1345</v>
      </c>
    </row>
    <row r="296" spans="1:9" ht="16.5" customHeight="1">
      <c r="A296" s="42" t="str">
        <f t="shared" si="9"/>
        <v>C295</v>
      </c>
      <c r="B296" s="42" t="s">
        <v>1346</v>
      </c>
      <c r="C296" s="22" t="s">
        <v>1347</v>
      </c>
      <c r="D296" s="42" t="s">
        <v>1348</v>
      </c>
      <c r="E296" s="42" t="s">
        <v>1349</v>
      </c>
      <c r="F296" s="22" t="s">
        <v>1350</v>
      </c>
      <c r="G296" t="s">
        <v>1351</v>
      </c>
    </row>
    <row r="297" spans="1:9" ht="16.5" customHeight="1">
      <c r="A297" s="42" t="str">
        <f t="shared" si="9"/>
        <v>C296</v>
      </c>
      <c r="B297" s="42" t="s">
        <v>1346</v>
      </c>
      <c r="C297" s="22" t="s">
        <v>1347</v>
      </c>
      <c r="D297" s="42" t="s">
        <v>1352</v>
      </c>
      <c r="E297" s="42" t="s">
        <v>1353</v>
      </c>
      <c r="F297" s="22" t="s">
        <v>1354</v>
      </c>
    </row>
    <row r="298" spans="1:9" ht="16.5" customHeight="1">
      <c r="A298" s="42" t="str">
        <f t="shared" si="9"/>
        <v>C297</v>
      </c>
      <c r="B298" s="42" t="s">
        <v>1346</v>
      </c>
      <c r="C298" s="22" t="s">
        <v>1347</v>
      </c>
      <c r="D298" s="42" t="s">
        <v>1355</v>
      </c>
      <c r="E298" s="42" t="s">
        <v>1356</v>
      </c>
      <c r="F298" s="22" t="s">
        <v>1357</v>
      </c>
    </row>
    <row r="299" spans="1:9" ht="16.5" customHeight="1">
      <c r="A299" s="42" t="str">
        <f t="shared" si="9"/>
        <v>C298</v>
      </c>
      <c r="B299" s="42" t="s">
        <v>1346</v>
      </c>
      <c r="C299" s="22" t="s">
        <v>1347</v>
      </c>
      <c r="D299" s="42" t="s">
        <v>1358</v>
      </c>
      <c r="E299" s="42" t="s">
        <v>1359</v>
      </c>
      <c r="F299" s="22" t="s">
        <v>1360</v>
      </c>
      <c r="G299" t="s">
        <v>1361</v>
      </c>
    </row>
    <row r="300" spans="1:9" ht="16.5" customHeight="1">
      <c r="A300" s="42" t="str">
        <f t="shared" si="9"/>
        <v>C299</v>
      </c>
      <c r="B300" s="42" t="s">
        <v>1346</v>
      </c>
      <c r="C300" s="22" t="s">
        <v>1347</v>
      </c>
      <c r="D300" s="42" t="s">
        <v>1362</v>
      </c>
      <c r="E300" s="42" t="s">
        <v>1363</v>
      </c>
      <c r="F300" s="22" t="s">
        <v>1364</v>
      </c>
      <c r="G300" t="s">
        <v>1365</v>
      </c>
    </row>
    <row r="301" spans="1:9" ht="16.5" customHeight="1">
      <c r="A301" s="42" t="str">
        <f t="shared" si="9"/>
        <v>C300</v>
      </c>
      <c r="B301" s="42" t="s">
        <v>1366</v>
      </c>
      <c r="C301" s="22" t="s">
        <v>35</v>
      </c>
      <c r="D301" s="42" t="s">
        <v>1367</v>
      </c>
      <c r="E301" s="42" t="s">
        <v>1368</v>
      </c>
      <c r="H301" s="22" t="s">
        <v>1369</v>
      </c>
      <c r="I301" s="22" t="s">
        <v>18</v>
      </c>
    </row>
    <row r="302" spans="1:9" ht="16.5" customHeight="1">
      <c r="A302" s="42" t="str">
        <f t="shared" si="9"/>
        <v>C301</v>
      </c>
      <c r="B302" s="42" t="s">
        <v>1366</v>
      </c>
      <c r="C302" s="22" t="s">
        <v>35</v>
      </c>
      <c r="D302" s="42" t="s">
        <v>1370</v>
      </c>
      <c r="E302" s="42" t="s">
        <v>1371</v>
      </c>
      <c r="F302" s="22" t="s">
        <v>1372</v>
      </c>
    </row>
    <row r="303" spans="1:9" ht="16.5" customHeight="1">
      <c r="A303" s="42" t="str">
        <f t="shared" si="9"/>
        <v>C302</v>
      </c>
      <c r="B303" s="42" t="s">
        <v>1373</v>
      </c>
      <c r="C303" s="22" t="s">
        <v>1374</v>
      </c>
      <c r="D303" s="42" t="s">
        <v>1375</v>
      </c>
      <c r="E303" s="42" t="s">
        <v>1376</v>
      </c>
      <c r="F303" s="22" t="s">
        <v>1377</v>
      </c>
    </row>
    <row r="304" spans="1:9" ht="16.5" customHeight="1">
      <c r="A304" s="42" t="str">
        <f t="shared" si="9"/>
        <v>C303</v>
      </c>
      <c r="B304" s="42" t="s">
        <v>1373</v>
      </c>
      <c r="C304" s="22" t="s">
        <v>1374</v>
      </c>
      <c r="D304" s="42" t="s">
        <v>1378</v>
      </c>
      <c r="E304" s="42" t="s">
        <v>1379</v>
      </c>
      <c r="F304" s="22" t="s">
        <v>1380</v>
      </c>
    </row>
    <row r="305" spans="1:9" ht="16.5" customHeight="1">
      <c r="A305" s="42" t="str">
        <f t="shared" si="9"/>
        <v>C304</v>
      </c>
      <c r="B305" s="42" t="s">
        <v>1373</v>
      </c>
      <c r="C305" s="22" t="s">
        <v>1374</v>
      </c>
      <c r="D305" s="42" t="s">
        <v>1381</v>
      </c>
      <c r="E305" s="42" t="s">
        <v>1382</v>
      </c>
      <c r="F305" s="22" t="s">
        <v>1383</v>
      </c>
    </row>
    <row r="306" spans="1:9" ht="16.5" customHeight="1">
      <c r="A306" s="42" t="str">
        <f t="shared" si="9"/>
        <v>C305</v>
      </c>
      <c r="B306" s="42" t="s">
        <v>1373</v>
      </c>
      <c r="C306" s="22" t="s">
        <v>1374</v>
      </c>
      <c r="D306" s="42" t="s">
        <v>1384</v>
      </c>
      <c r="E306" s="42" t="s">
        <v>62</v>
      </c>
      <c r="F306" s="22" t="s">
        <v>1385</v>
      </c>
    </row>
    <row r="307" spans="1:9" ht="16.5" customHeight="1">
      <c r="A307" s="42" t="str">
        <f t="shared" si="9"/>
        <v>C306</v>
      </c>
      <c r="B307" s="42" t="s">
        <v>1386</v>
      </c>
      <c r="C307" s="22" t="s">
        <v>135</v>
      </c>
      <c r="D307" s="42" t="s">
        <v>1387</v>
      </c>
      <c r="E307" s="42" t="s">
        <v>1388</v>
      </c>
      <c r="F307" s="22" t="s">
        <v>1389</v>
      </c>
      <c r="G307" t="s">
        <v>1390</v>
      </c>
      <c r="I307" s="22" t="s">
        <v>18</v>
      </c>
    </row>
    <row r="308" spans="1:9" ht="16.5" customHeight="1">
      <c r="A308" s="42" t="str">
        <f t="shared" si="9"/>
        <v>C307</v>
      </c>
      <c r="B308" s="42" t="s">
        <v>1386</v>
      </c>
      <c r="C308" s="22" t="s">
        <v>135</v>
      </c>
      <c r="D308" s="42" t="s">
        <v>1391</v>
      </c>
      <c r="E308" s="42" t="s">
        <v>1392</v>
      </c>
      <c r="F308" s="22" t="s">
        <v>1393</v>
      </c>
      <c r="G308" t="s">
        <v>1394</v>
      </c>
      <c r="H308" s="22" t="s">
        <v>1395</v>
      </c>
    </row>
    <row r="309" spans="1:9" ht="16.5" customHeight="1">
      <c r="A309" s="42" t="str">
        <f t="shared" si="9"/>
        <v>C308</v>
      </c>
      <c r="B309" s="42" t="s">
        <v>1386</v>
      </c>
      <c r="C309" s="22" t="s">
        <v>135</v>
      </c>
      <c r="D309" s="42" t="s">
        <v>1396</v>
      </c>
      <c r="E309" s="42" t="s">
        <v>1397</v>
      </c>
      <c r="F309" s="22" t="s">
        <v>1398</v>
      </c>
      <c r="G309" t="s">
        <v>1399</v>
      </c>
      <c r="H309" s="22" t="s">
        <v>1400</v>
      </c>
    </row>
    <row r="310" spans="1:9" ht="16.5" customHeight="1">
      <c r="A310" s="42" t="str">
        <f t="shared" si="9"/>
        <v>C309</v>
      </c>
      <c r="B310" s="42" t="s">
        <v>1386</v>
      </c>
      <c r="C310" s="22" t="s">
        <v>135</v>
      </c>
      <c r="D310" s="42" t="s">
        <v>1401</v>
      </c>
      <c r="E310" s="42" t="s">
        <v>1402</v>
      </c>
      <c r="F310" s="22" t="s">
        <v>1403</v>
      </c>
      <c r="G310" t="s">
        <v>1404</v>
      </c>
      <c r="H310" s="22" t="s">
        <v>1405</v>
      </c>
    </row>
    <row r="311" spans="1:9" ht="16.5" customHeight="1">
      <c r="A311" s="42" t="str">
        <f t="shared" si="9"/>
        <v>C310</v>
      </c>
      <c r="B311" s="42" t="s">
        <v>1386</v>
      </c>
      <c r="C311" s="22" t="s">
        <v>135</v>
      </c>
      <c r="D311" s="42" t="s">
        <v>1406</v>
      </c>
      <c r="E311" s="42" t="s">
        <v>1407</v>
      </c>
      <c r="F311" s="22" t="s">
        <v>1408</v>
      </c>
      <c r="G311" t="s">
        <v>1409</v>
      </c>
      <c r="H311" s="22" t="s">
        <v>1410</v>
      </c>
    </row>
    <row r="312" spans="1:9" ht="16.5" customHeight="1">
      <c r="A312" s="42" t="str">
        <f t="shared" si="9"/>
        <v>C311</v>
      </c>
      <c r="B312" s="42" t="s">
        <v>1411</v>
      </c>
      <c r="C312" s="22" t="s">
        <v>1412</v>
      </c>
      <c r="D312" s="42" t="s">
        <v>1413</v>
      </c>
      <c r="F312" s="22" t="s">
        <v>1414</v>
      </c>
    </row>
    <row r="313" spans="1:9" ht="16.5" customHeight="1">
      <c r="A313" s="42" t="str">
        <f t="shared" si="9"/>
        <v>C312</v>
      </c>
      <c r="B313" s="42" t="s">
        <v>1411</v>
      </c>
      <c r="C313" s="22" t="s">
        <v>1412</v>
      </c>
      <c r="D313" s="42" t="s">
        <v>1415</v>
      </c>
      <c r="F313" s="22" t="s">
        <v>1416</v>
      </c>
    </row>
    <row r="314" spans="1:9" ht="16.5" customHeight="1">
      <c r="A314" s="42" t="str">
        <f t="shared" si="9"/>
        <v>C313</v>
      </c>
      <c r="B314" s="42" t="s">
        <v>1417</v>
      </c>
      <c r="C314" s="22" t="s">
        <v>1418</v>
      </c>
      <c r="D314" s="42" t="s">
        <v>1419</v>
      </c>
      <c r="E314" s="42" t="s">
        <v>173</v>
      </c>
    </row>
    <row r="315" spans="1:9" ht="16.5" customHeight="1">
      <c r="A315" s="42" t="str">
        <f t="shared" si="9"/>
        <v>C314</v>
      </c>
      <c r="B315" s="42" t="s">
        <v>1417</v>
      </c>
      <c r="C315" s="22" t="s">
        <v>1418</v>
      </c>
      <c r="D315" s="42" t="s">
        <v>1420</v>
      </c>
      <c r="E315" s="42" t="s">
        <v>1421</v>
      </c>
    </row>
    <row r="316" spans="1:9" ht="16.5" customHeight="1">
      <c r="A316" s="42" t="str">
        <f t="shared" si="9"/>
        <v>C315</v>
      </c>
      <c r="B316" s="42" t="s">
        <v>1417</v>
      </c>
      <c r="C316" s="22" t="s">
        <v>1418</v>
      </c>
      <c r="D316" s="42" t="s">
        <v>1422</v>
      </c>
      <c r="E316" s="42" t="s">
        <v>802</v>
      </c>
      <c r="F316" s="22" t="s">
        <v>1423</v>
      </c>
      <c r="I316" s="22" t="s">
        <v>18</v>
      </c>
    </row>
    <row r="317" spans="1:9" ht="16.5" customHeight="1">
      <c r="A317" s="42" t="str">
        <f t="shared" si="9"/>
        <v>C316</v>
      </c>
      <c r="B317" s="42" t="s">
        <v>1417</v>
      </c>
      <c r="C317" s="22" t="s">
        <v>1418</v>
      </c>
      <c r="D317" s="42" t="s">
        <v>1424</v>
      </c>
      <c r="E317" s="42" t="s">
        <v>1226</v>
      </c>
      <c r="F317" s="22" t="s">
        <v>1425</v>
      </c>
      <c r="G317" t="s">
        <v>1426</v>
      </c>
      <c r="H317" s="22" t="s">
        <v>1427</v>
      </c>
    </row>
    <row r="318" spans="1:9" ht="16.5" customHeight="1">
      <c r="A318" s="42" t="str">
        <f t="shared" si="9"/>
        <v>C317</v>
      </c>
      <c r="B318" s="42" t="s">
        <v>1428</v>
      </c>
      <c r="C318" s="22" t="s">
        <v>758</v>
      </c>
      <c r="D318" s="42" t="s">
        <v>1429</v>
      </c>
      <c r="E318" s="42" t="s">
        <v>1430</v>
      </c>
      <c r="F318" s="22" t="s">
        <v>1431</v>
      </c>
      <c r="G318" t="s">
        <v>1432</v>
      </c>
      <c r="H318" s="22" t="s">
        <v>1433</v>
      </c>
    </row>
    <row r="319" spans="1:9" ht="16.5" customHeight="1">
      <c r="A319" s="42" t="str">
        <f t="shared" si="9"/>
        <v>C318</v>
      </c>
      <c r="B319" s="42" t="s">
        <v>1428</v>
      </c>
      <c r="C319" s="22" t="s">
        <v>758</v>
      </c>
      <c r="D319" s="42" t="s">
        <v>1434</v>
      </c>
      <c r="E319" s="42" t="s">
        <v>1435</v>
      </c>
      <c r="F319" s="22" t="s">
        <v>1436</v>
      </c>
      <c r="H319" s="22" t="s">
        <v>1437</v>
      </c>
    </row>
    <row r="320" spans="1:9" ht="16.5" customHeight="1">
      <c r="A320" s="42" t="str">
        <f t="shared" si="9"/>
        <v>C319</v>
      </c>
      <c r="B320" s="42" t="s">
        <v>1428</v>
      </c>
      <c r="C320" s="22" t="s">
        <v>758</v>
      </c>
      <c r="D320" s="42" t="s">
        <v>1438</v>
      </c>
      <c r="E320" s="42" t="s">
        <v>1439</v>
      </c>
      <c r="F320" s="22" t="s">
        <v>1440</v>
      </c>
      <c r="H320" s="22" t="s">
        <v>1441</v>
      </c>
    </row>
    <row r="321" spans="1:14" ht="16.5" customHeight="1">
      <c r="A321" s="42" t="str">
        <f t="shared" si="9"/>
        <v>C320</v>
      </c>
      <c r="B321" s="42" t="s">
        <v>1428</v>
      </c>
      <c r="C321" s="22" t="s">
        <v>758</v>
      </c>
      <c r="D321" s="42" t="s">
        <v>1442</v>
      </c>
      <c r="E321" s="42" t="s">
        <v>1443</v>
      </c>
      <c r="F321" s="22" t="s">
        <v>1444</v>
      </c>
      <c r="G321" t="s">
        <v>1445</v>
      </c>
      <c r="H321" s="22" t="s">
        <v>1446</v>
      </c>
    </row>
    <row r="322" spans="1:14" ht="16.5" customHeight="1">
      <c r="A322" s="42" t="str">
        <f t="shared" si="9"/>
        <v>C321</v>
      </c>
      <c r="B322" s="42" t="s">
        <v>1428</v>
      </c>
      <c r="C322" s="22" t="s">
        <v>1447</v>
      </c>
      <c r="D322" s="42" t="s">
        <v>1448</v>
      </c>
      <c r="E322" s="42" t="s">
        <v>1449</v>
      </c>
      <c r="G322" t="s">
        <v>1450</v>
      </c>
      <c r="H322" s="22" t="s">
        <v>1451</v>
      </c>
      <c r="I322" s="22" t="s">
        <v>18</v>
      </c>
    </row>
    <row r="323" spans="1:14" ht="16.5" customHeight="1">
      <c r="A323" s="42" t="str">
        <f t="shared" si="9"/>
        <v>C322</v>
      </c>
      <c r="B323" s="42" t="s">
        <v>1452</v>
      </c>
      <c r="C323" s="22" t="s">
        <v>340</v>
      </c>
      <c r="D323" s="42" t="s">
        <v>1453</v>
      </c>
      <c r="E323" s="42" t="s">
        <v>1454</v>
      </c>
      <c r="F323" s="22" t="s">
        <v>1455</v>
      </c>
      <c r="G323" t="s">
        <v>1456</v>
      </c>
      <c r="H323" s="22" t="s">
        <v>1457</v>
      </c>
    </row>
    <row r="324" spans="1:14" ht="16.5" customHeight="1">
      <c r="A324" s="42" t="str">
        <f t="shared" si="9"/>
        <v>C323</v>
      </c>
      <c r="B324" s="42" t="s">
        <v>1452</v>
      </c>
      <c r="C324" s="22" t="s">
        <v>92</v>
      </c>
      <c r="D324" s="42" t="s">
        <v>1458</v>
      </c>
      <c r="E324" s="42" t="s">
        <v>1459</v>
      </c>
      <c r="F324" s="22" t="s">
        <v>1460</v>
      </c>
      <c r="G324" t="s">
        <v>1461</v>
      </c>
      <c r="H324" s="22" t="s">
        <v>1462</v>
      </c>
    </row>
    <row r="325" spans="1:14" ht="16.5" customHeight="1">
      <c r="A325" s="42" t="str">
        <f t="shared" si="9"/>
        <v>C324</v>
      </c>
      <c r="B325" s="42" t="s">
        <v>1452</v>
      </c>
      <c r="C325" s="22" t="s">
        <v>1463</v>
      </c>
      <c r="D325" s="42" t="s">
        <v>1464</v>
      </c>
      <c r="E325" s="42" t="s">
        <v>1465</v>
      </c>
      <c r="F325" s="22" t="s">
        <v>1466</v>
      </c>
      <c r="H325" s="22" t="s">
        <v>1467</v>
      </c>
    </row>
    <row r="326" spans="1:14" ht="18" customHeight="1">
      <c r="A326" s="42" t="str">
        <f t="shared" si="9"/>
        <v>C325</v>
      </c>
      <c r="B326" s="42" t="s">
        <v>1428</v>
      </c>
      <c r="C326" s="22" t="s">
        <v>1468</v>
      </c>
      <c r="D326" s="42" t="s">
        <v>1469</v>
      </c>
      <c r="E326" s="42" t="s">
        <v>1376</v>
      </c>
      <c r="F326" s="22" t="s">
        <v>1470</v>
      </c>
      <c r="H326" s="22" t="s">
        <v>1471</v>
      </c>
    </row>
    <row r="327" spans="1:14" ht="16.5" customHeight="1">
      <c r="A327" s="42" t="str">
        <f t="shared" si="9"/>
        <v>C326</v>
      </c>
      <c r="B327" s="42" t="s">
        <v>1428</v>
      </c>
      <c r="C327" s="22" t="s">
        <v>1472</v>
      </c>
      <c r="D327" s="42" t="s">
        <v>1473</v>
      </c>
      <c r="E327" s="42" t="s">
        <v>1124</v>
      </c>
      <c r="F327" s="22" t="s">
        <v>1474</v>
      </c>
      <c r="G327" t="s">
        <v>1475</v>
      </c>
      <c r="H327" s="22" t="s">
        <v>1476</v>
      </c>
    </row>
    <row r="328" spans="1:14" ht="16.5" customHeight="1">
      <c r="A328" s="42" t="str">
        <f t="shared" si="9"/>
        <v>C327</v>
      </c>
      <c r="C328" s="22" t="s">
        <v>1477</v>
      </c>
      <c r="D328" s="42" t="s">
        <v>1478</v>
      </c>
      <c r="E328" s="42" t="s">
        <v>1479</v>
      </c>
      <c r="F328" s="22" t="s">
        <v>1480</v>
      </c>
      <c r="G328" t="s">
        <v>1481</v>
      </c>
      <c r="H328" s="22" t="s">
        <v>1482</v>
      </c>
      <c r="I328" s="22" t="s">
        <v>18</v>
      </c>
      <c r="J328" s="42">
        <v>3</v>
      </c>
    </row>
    <row r="329" spans="1:14" ht="16.5" customHeight="1">
      <c r="A329" s="55" t="str">
        <f t="shared" si="9"/>
        <v>C328</v>
      </c>
      <c r="B329" s="55"/>
      <c r="C329" s="56" t="s">
        <v>1477</v>
      </c>
      <c r="D329" s="55" t="s">
        <v>1483</v>
      </c>
      <c r="E329" s="55" t="s">
        <v>1484</v>
      </c>
      <c r="F329" s="56" t="s">
        <v>1485</v>
      </c>
      <c r="G329" s="57" t="s">
        <v>1486</v>
      </c>
      <c r="H329" s="56" t="s">
        <v>1487</v>
      </c>
      <c r="I329" s="56" t="s">
        <v>18</v>
      </c>
      <c r="J329" s="55">
        <v>1</v>
      </c>
    </row>
    <row r="330" spans="1:14" ht="16.5" customHeight="1">
      <c r="A330" s="42" t="str">
        <f t="shared" si="9"/>
        <v>C329</v>
      </c>
      <c r="C330" s="22" t="s">
        <v>1477</v>
      </c>
      <c r="D330" s="42" t="s">
        <v>1488</v>
      </c>
      <c r="E330" s="42" t="s">
        <v>126</v>
      </c>
      <c r="F330" s="22" t="s">
        <v>1489</v>
      </c>
      <c r="G330" t="s">
        <v>1490</v>
      </c>
      <c r="H330" s="22" t="s">
        <v>1491</v>
      </c>
      <c r="I330" s="22" t="s">
        <v>18</v>
      </c>
      <c r="J330" s="42">
        <v>1</v>
      </c>
    </row>
    <row r="331" spans="1:14" ht="16.5" customHeight="1">
      <c r="A331" s="55" t="str">
        <f t="shared" si="9"/>
        <v>C330</v>
      </c>
      <c r="B331" s="55"/>
      <c r="C331" s="56" t="s">
        <v>1477</v>
      </c>
      <c r="D331" s="55" t="s">
        <v>1492</v>
      </c>
      <c r="E331" s="55" t="s">
        <v>968</v>
      </c>
      <c r="F331" s="56" t="s">
        <v>1493</v>
      </c>
      <c r="G331" s="57" t="s">
        <v>1494</v>
      </c>
      <c r="H331" s="56" t="s">
        <v>1495</v>
      </c>
      <c r="I331" s="56" t="s">
        <v>18</v>
      </c>
      <c r="J331" s="55">
        <v>2</v>
      </c>
    </row>
    <row r="332" spans="1:14" ht="16.5" customHeight="1">
      <c r="A332" s="42" t="str">
        <f t="shared" si="9"/>
        <v>C331</v>
      </c>
      <c r="C332" s="22" t="s">
        <v>1496</v>
      </c>
      <c r="D332" s="42" t="s">
        <v>1497</v>
      </c>
      <c r="F332" s="22" t="s">
        <v>1498</v>
      </c>
    </row>
    <row r="333" spans="1:14" ht="16.5" customHeight="1">
      <c r="A333" s="42" t="str">
        <f t="shared" si="9"/>
        <v>C332</v>
      </c>
      <c r="C333" s="22" t="s">
        <v>1496</v>
      </c>
      <c r="D333" s="42" t="s">
        <v>1499</v>
      </c>
      <c r="E333" s="42" t="s">
        <v>673</v>
      </c>
      <c r="F333" s="22" t="s">
        <v>1500</v>
      </c>
      <c r="G333" t="s">
        <v>1501</v>
      </c>
      <c r="H333" s="22" t="s">
        <v>1502</v>
      </c>
      <c r="J333" s="42">
        <v>1</v>
      </c>
    </row>
    <row r="334" spans="1:14" ht="16.5" customHeight="1">
      <c r="A334" s="42" t="str">
        <f t="shared" si="9"/>
        <v>C333</v>
      </c>
      <c r="C334" s="22" t="s">
        <v>1496</v>
      </c>
      <c r="D334" s="42" t="s">
        <v>1503</v>
      </c>
      <c r="E334" s="42" t="s">
        <v>426</v>
      </c>
      <c r="F334" s="22" t="s">
        <v>1504</v>
      </c>
      <c r="G334" t="s">
        <v>1505</v>
      </c>
      <c r="H334" s="22" t="s">
        <v>1506</v>
      </c>
      <c r="J334" s="42">
        <v>1</v>
      </c>
      <c r="M334" t="s">
        <v>1507</v>
      </c>
      <c r="N334" t="s">
        <v>1508</v>
      </c>
    </row>
    <row r="335" spans="1:14" ht="16.5" customHeight="1">
      <c r="A335" s="42" t="str">
        <f t="shared" si="9"/>
        <v>C334</v>
      </c>
      <c r="C335" s="22" t="s">
        <v>1496</v>
      </c>
      <c r="D335" s="42" t="s">
        <v>1509</v>
      </c>
      <c r="E335" s="42" t="s">
        <v>673</v>
      </c>
      <c r="F335" s="22" t="s">
        <v>1510</v>
      </c>
      <c r="G335" t="s">
        <v>1511</v>
      </c>
      <c r="H335" s="22" t="s">
        <v>1512</v>
      </c>
      <c r="I335" s="22" t="s">
        <v>18</v>
      </c>
      <c r="J335" s="42">
        <v>1</v>
      </c>
      <c r="M335" t="s">
        <v>1513</v>
      </c>
    </row>
    <row r="336" spans="1:14" ht="16.5" customHeight="1">
      <c r="A336" s="42" t="str">
        <f t="shared" si="9"/>
        <v>C335</v>
      </c>
      <c r="C336" s="22" t="s">
        <v>1514</v>
      </c>
      <c r="D336" s="42" t="s">
        <v>1515</v>
      </c>
      <c r="E336" s="42" t="s">
        <v>426</v>
      </c>
      <c r="F336" s="22" t="s">
        <v>1516</v>
      </c>
      <c r="G336" t="s">
        <v>1517</v>
      </c>
      <c r="I336" s="22" t="s">
        <v>18</v>
      </c>
      <c r="J336" s="22"/>
    </row>
    <row r="337" spans="1:8" ht="16.5" customHeight="1">
      <c r="A337" s="42" t="str">
        <f t="shared" si="9"/>
        <v>C336</v>
      </c>
      <c r="C337" s="22" t="s">
        <v>1518</v>
      </c>
      <c r="D337" s="42" t="s">
        <v>1519</v>
      </c>
      <c r="E337" s="42" t="s">
        <v>1520</v>
      </c>
      <c r="F337" s="22" t="s">
        <v>1521</v>
      </c>
      <c r="G337" t="s">
        <v>1522</v>
      </c>
      <c r="H337" s="22" t="s">
        <v>1523</v>
      </c>
    </row>
    <row r="338" spans="1:8" ht="16.5" customHeight="1">
      <c r="A338" s="42" t="str">
        <f t="shared" si="9"/>
        <v>C337</v>
      </c>
      <c r="C338" s="22" t="s">
        <v>1518</v>
      </c>
      <c r="D338" s="42" t="s">
        <v>1524</v>
      </c>
      <c r="E338" s="42" t="s">
        <v>857</v>
      </c>
      <c r="G338" t="s">
        <v>1525</v>
      </c>
      <c r="H338" s="22" t="s">
        <v>1526</v>
      </c>
    </row>
    <row r="339" spans="1:8" ht="16.5" customHeight="1">
      <c r="A339" s="42" t="str">
        <f t="shared" si="9"/>
        <v>C338</v>
      </c>
      <c r="C339" s="22" t="s">
        <v>1518</v>
      </c>
      <c r="D339" s="42" t="s">
        <v>1527</v>
      </c>
      <c r="E339" s="42" t="s">
        <v>173</v>
      </c>
      <c r="G339" t="s">
        <v>1528</v>
      </c>
      <c r="H339" s="22" t="s">
        <v>1529</v>
      </c>
    </row>
    <row r="340" spans="1:8" ht="16.5" customHeight="1">
      <c r="A340" s="42" t="str">
        <f t="shared" si="9"/>
        <v>C339</v>
      </c>
      <c r="C340" s="22" t="s">
        <v>1518</v>
      </c>
      <c r="D340" s="42" t="s">
        <v>1530</v>
      </c>
      <c r="E340" s="42" t="s">
        <v>819</v>
      </c>
      <c r="F340" s="22" t="s">
        <v>1531</v>
      </c>
      <c r="G340" t="s">
        <v>1532</v>
      </c>
      <c r="H340" s="22" t="s">
        <v>1533</v>
      </c>
    </row>
    <row r="341" spans="1:8" ht="16.5" customHeight="1">
      <c r="A341" s="42" t="str">
        <f t="shared" si="9"/>
        <v>C340</v>
      </c>
      <c r="B341" s="42" t="s">
        <v>1534</v>
      </c>
      <c r="C341" s="22" t="s">
        <v>1535</v>
      </c>
      <c r="D341" s="42" t="s">
        <v>1536</v>
      </c>
      <c r="E341" s="42" t="s">
        <v>1537</v>
      </c>
      <c r="F341" s="22" t="s">
        <v>1538</v>
      </c>
    </row>
    <row r="342" spans="1:8" ht="16.5" customHeight="1">
      <c r="A342" s="42" t="str">
        <f t="shared" si="9"/>
        <v>C341</v>
      </c>
      <c r="B342" s="42" t="s">
        <v>1534</v>
      </c>
      <c r="C342" s="22" t="s">
        <v>1539</v>
      </c>
      <c r="D342" s="42" t="s">
        <v>1540</v>
      </c>
      <c r="E342" s="42" t="s">
        <v>1541</v>
      </c>
      <c r="F342" s="22" t="s">
        <v>1542</v>
      </c>
    </row>
    <row r="343" spans="1:8" ht="16.5" customHeight="1">
      <c r="A343" s="42" t="str">
        <f t="shared" si="9"/>
        <v>C342</v>
      </c>
      <c r="B343" s="42" t="s">
        <v>1534</v>
      </c>
      <c r="C343" s="22" t="s">
        <v>460</v>
      </c>
      <c r="D343" s="42" t="s">
        <v>1543</v>
      </c>
      <c r="E343" s="42" t="s">
        <v>1544</v>
      </c>
      <c r="F343" s="22" t="s">
        <v>1545</v>
      </c>
    </row>
    <row r="344" spans="1:8" ht="16.5" customHeight="1">
      <c r="A344" s="42" t="str">
        <f t="shared" si="9"/>
        <v>C343</v>
      </c>
      <c r="B344" s="42" t="s">
        <v>1546</v>
      </c>
      <c r="C344" s="22" t="s">
        <v>1547</v>
      </c>
      <c r="D344" s="42" t="s">
        <v>1548</v>
      </c>
      <c r="E344" s="42" t="s">
        <v>1549</v>
      </c>
      <c r="F344" s="22" t="s">
        <v>1550</v>
      </c>
      <c r="G344" t="s">
        <v>1551</v>
      </c>
    </row>
    <row r="345" spans="1:8" ht="16.5" customHeight="1">
      <c r="A345" s="42" t="str">
        <f t="shared" si="9"/>
        <v>C344</v>
      </c>
      <c r="B345" s="42" t="s">
        <v>1552</v>
      </c>
      <c r="C345" s="22" t="s">
        <v>1553</v>
      </c>
      <c r="D345" s="42" t="s">
        <v>1554</v>
      </c>
      <c r="E345" s="42" t="s">
        <v>1555</v>
      </c>
      <c r="H345" s="22" t="s">
        <v>1556</v>
      </c>
    </row>
    <row r="346" spans="1:8" ht="16.5" customHeight="1">
      <c r="A346" s="42" t="str">
        <f t="shared" ref="A346:A409" si="10">_xlfn.CONCAT("C",TEXT(ROW()-1,"000"))</f>
        <v>C345</v>
      </c>
      <c r="C346" s="22" t="s">
        <v>1557</v>
      </c>
      <c r="D346" s="42" t="s">
        <v>1558</v>
      </c>
      <c r="E346" s="42" t="s">
        <v>224</v>
      </c>
      <c r="F346" s="22" t="s">
        <v>1559</v>
      </c>
      <c r="G346" t="s">
        <v>1560</v>
      </c>
      <c r="H346" s="22" t="s">
        <v>1561</v>
      </c>
    </row>
    <row r="347" spans="1:8" ht="16.5" customHeight="1">
      <c r="A347" s="42" t="str">
        <f t="shared" si="10"/>
        <v>C346</v>
      </c>
      <c r="C347" s="22" t="s">
        <v>1557</v>
      </c>
      <c r="D347" s="42" t="s">
        <v>1562</v>
      </c>
      <c r="E347" s="42" t="s">
        <v>126</v>
      </c>
      <c r="F347" s="22" t="s">
        <v>1563</v>
      </c>
      <c r="G347" t="s">
        <v>1564</v>
      </c>
      <c r="H347" s="22" t="s">
        <v>1565</v>
      </c>
    </row>
    <row r="348" spans="1:8" ht="16.5" customHeight="1">
      <c r="A348" s="42" t="str">
        <f t="shared" si="10"/>
        <v>C347</v>
      </c>
      <c r="C348" s="22" t="s">
        <v>1557</v>
      </c>
      <c r="D348" s="42" t="s">
        <v>1566</v>
      </c>
      <c r="E348" s="42" t="s">
        <v>1567</v>
      </c>
      <c r="F348" s="22" t="s">
        <v>1568</v>
      </c>
      <c r="G348" t="s">
        <v>1569</v>
      </c>
      <c r="H348" s="22" t="s">
        <v>1570</v>
      </c>
    </row>
    <row r="349" spans="1:8" ht="16.5" customHeight="1">
      <c r="A349" s="42" t="str">
        <f t="shared" si="10"/>
        <v>C348</v>
      </c>
      <c r="C349" s="22" t="s">
        <v>1557</v>
      </c>
      <c r="D349" s="42" t="s">
        <v>1571</v>
      </c>
      <c r="E349" s="42" t="s">
        <v>583</v>
      </c>
      <c r="F349" s="22" t="s">
        <v>1572</v>
      </c>
      <c r="G349" t="s">
        <v>1573</v>
      </c>
      <c r="H349" s="22" t="s">
        <v>1574</v>
      </c>
    </row>
    <row r="350" spans="1:8" ht="16.5" customHeight="1">
      <c r="A350" s="42" t="str">
        <f t="shared" si="10"/>
        <v>C349</v>
      </c>
      <c r="C350" s="22" t="s">
        <v>1468</v>
      </c>
      <c r="D350" s="42" t="s">
        <v>1575</v>
      </c>
      <c r="E350" s="42" t="s">
        <v>1576</v>
      </c>
      <c r="F350" s="22" t="s">
        <v>1577</v>
      </c>
      <c r="G350" t="s">
        <v>1578</v>
      </c>
      <c r="H350" s="22" t="s">
        <v>1579</v>
      </c>
    </row>
    <row r="351" spans="1:8" ht="16.5" customHeight="1">
      <c r="A351" s="42" t="str">
        <f t="shared" si="10"/>
        <v>C350</v>
      </c>
      <c r="C351" s="22" t="s">
        <v>1468</v>
      </c>
      <c r="D351" s="42" t="s">
        <v>1580</v>
      </c>
      <c r="E351" s="42" t="s">
        <v>1581</v>
      </c>
      <c r="F351" s="22" t="s">
        <v>1582</v>
      </c>
      <c r="G351" t="s">
        <v>1583</v>
      </c>
      <c r="H351" s="22" t="s">
        <v>1584</v>
      </c>
    </row>
    <row r="352" spans="1:8" ht="16.5" customHeight="1">
      <c r="A352" s="42" t="str">
        <f t="shared" si="10"/>
        <v>C351</v>
      </c>
      <c r="C352" s="22" t="s">
        <v>1468</v>
      </c>
      <c r="D352" s="42" t="s">
        <v>1585</v>
      </c>
      <c r="E352" s="42" t="s">
        <v>1586</v>
      </c>
      <c r="F352" s="22" t="s">
        <v>1587</v>
      </c>
      <c r="H352" s="22" t="s">
        <v>1588</v>
      </c>
    </row>
    <row r="353" spans="1:13" ht="16.5" customHeight="1">
      <c r="A353" s="42" t="str">
        <f t="shared" si="10"/>
        <v>C352</v>
      </c>
      <c r="C353" s="22" t="s">
        <v>340</v>
      </c>
      <c r="D353" s="42" t="s">
        <v>1589</v>
      </c>
      <c r="E353" s="42" t="s">
        <v>1590</v>
      </c>
      <c r="F353" s="22" t="s">
        <v>1591</v>
      </c>
      <c r="G353" t="s">
        <v>1592</v>
      </c>
      <c r="H353" s="22" t="s">
        <v>1593</v>
      </c>
    </row>
    <row r="354" spans="1:13" ht="16.5" customHeight="1">
      <c r="A354" s="42" t="str">
        <f t="shared" si="10"/>
        <v>C353</v>
      </c>
      <c r="C354" s="22" t="s">
        <v>340</v>
      </c>
      <c r="D354" s="42" t="s">
        <v>1594</v>
      </c>
      <c r="E354" s="42" t="s">
        <v>1595</v>
      </c>
      <c r="F354" s="22" t="s">
        <v>1596</v>
      </c>
      <c r="G354" t="s">
        <v>1597</v>
      </c>
      <c r="H354" s="22" t="s">
        <v>1598</v>
      </c>
    </row>
    <row r="355" spans="1:13" ht="16.5" customHeight="1">
      <c r="A355" s="42" t="str">
        <f t="shared" si="10"/>
        <v>C354</v>
      </c>
      <c r="C355" s="22" t="s">
        <v>340</v>
      </c>
      <c r="D355" s="42" t="s">
        <v>1599</v>
      </c>
      <c r="E355" s="42" t="s">
        <v>1600</v>
      </c>
      <c r="F355" s="22" t="s">
        <v>1601</v>
      </c>
      <c r="G355" t="s">
        <v>1602</v>
      </c>
      <c r="H355" s="22" t="s">
        <v>1603</v>
      </c>
    </row>
    <row r="356" spans="1:13" ht="16.5" customHeight="1">
      <c r="A356" s="42" t="str">
        <f t="shared" si="10"/>
        <v>C355</v>
      </c>
      <c r="C356" s="22" t="s">
        <v>1604</v>
      </c>
      <c r="D356" s="42" t="s">
        <v>1605</v>
      </c>
      <c r="E356" s="42" t="s">
        <v>1021</v>
      </c>
      <c r="F356" s="22" t="s">
        <v>1606</v>
      </c>
      <c r="G356" t="s">
        <v>1607</v>
      </c>
      <c r="H356" s="22" t="s">
        <v>1608</v>
      </c>
    </row>
    <row r="357" spans="1:13" ht="16.5" customHeight="1">
      <c r="A357" s="42" t="str">
        <f t="shared" si="10"/>
        <v>C356</v>
      </c>
      <c r="C357" s="22" t="s">
        <v>1604</v>
      </c>
      <c r="D357" s="42" t="s">
        <v>1609</v>
      </c>
      <c r="E357" s="42" t="s">
        <v>1610</v>
      </c>
      <c r="F357" s="22" t="s">
        <v>1611</v>
      </c>
      <c r="G357" t="s">
        <v>1612</v>
      </c>
      <c r="H357" s="22" t="s">
        <v>1613</v>
      </c>
    </row>
    <row r="358" spans="1:13" ht="16.5" customHeight="1">
      <c r="A358" s="42" t="str">
        <f t="shared" si="10"/>
        <v>C357</v>
      </c>
      <c r="C358" s="22" t="s">
        <v>1604</v>
      </c>
      <c r="D358" s="42" t="s">
        <v>1614</v>
      </c>
      <c r="E358" s="42" t="s">
        <v>1615</v>
      </c>
      <c r="F358" s="22" t="s">
        <v>1616</v>
      </c>
      <c r="G358" t="s">
        <v>1617</v>
      </c>
      <c r="H358" s="22" t="s">
        <v>1618</v>
      </c>
    </row>
    <row r="359" spans="1:13" ht="16.5" customHeight="1">
      <c r="A359" s="42" t="str">
        <f t="shared" si="10"/>
        <v>C358</v>
      </c>
      <c r="C359" s="22" t="s">
        <v>1604</v>
      </c>
      <c r="D359" s="42" t="s">
        <v>1340</v>
      </c>
      <c r="E359" s="42" t="s">
        <v>1549</v>
      </c>
      <c r="F359" s="22" t="s">
        <v>1619</v>
      </c>
      <c r="G359" t="s">
        <v>1620</v>
      </c>
      <c r="H359" s="22" t="s">
        <v>1621</v>
      </c>
    </row>
    <row r="360" spans="1:13" ht="16.5" customHeight="1">
      <c r="A360" s="42" t="str">
        <f t="shared" si="10"/>
        <v>C359</v>
      </c>
      <c r="C360" s="22" t="s">
        <v>1604</v>
      </c>
      <c r="D360" s="42" t="s">
        <v>1334</v>
      </c>
      <c r="E360" s="42" t="s">
        <v>1622</v>
      </c>
      <c r="F360" s="22" t="s">
        <v>1623</v>
      </c>
      <c r="G360" t="s">
        <v>1624</v>
      </c>
      <c r="H360" s="22" t="s">
        <v>1625</v>
      </c>
    </row>
    <row r="361" spans="1:13" ht="16.5" customHeight="1">
      <c r="A361" s="42" t="str">
        <f t="shared" si="10"/>
        <v>C360</v>
      </c>
      <c r="C361" s="22" t="s">
        <v>1604</v>
      </c>
      <c r="D361" s="42" t="s">
        <v>1337</v>
      </c>
      <c r="E361" s="42" t="s">
        <v>1338</v>
      </c>
      <c r="G361" t="s">
        <v>1626</v>
      </c>
      <c r="H361" s="22" t="s">
        <v>1627</v>
      </c>
    </row>
    <row r="362" spans="1:13" ht="16.5" customHeight="1">
      <c r="A362" s="55" t="str">
        <f t="shared" si="10"/>
        <v>C361</v>
      </c>
      <c r="B362" s="55"/>
      <c r="C362" s="56" t="s">
        <v>1547</v>
      </c>
      <c r="D362" s="55" t="s">
        <v>1628</v>
      </c>
      <c r="E362" s="55" t="s">
        <v>1629</v>
      </c>
      <c r="F362" s="56" t="s">
        <v>1630</v>
      </c>
      <c r="G362" s="57" t="s">
        <v>1631</v>
      </c>
      <c r="H362" s="56"/>
      <c r="I362" s="56" t="s">
        <v>18</v>
      </c>
      <c r="J362" s="42">
        <v>3</v>
      </c>
      <c r="M362" t="s">
        <v>1632</v>
      </c>
    </row>
    <row r="363" spans="1:13" ht="16.5" customHeight="1">
      <c r="A363" s="42" t="str">
        <f t="shared" si="10"/>
        <v>C362</v>
      </c>
      <c r="B363" s="42" t="s">
        <v>1633</v>
      </c>
      <c r="C363" s="22" t="s">
        <v>610</v>
      </c>
      <c r="D363" s="42" t="s">
        <v>1634</v>
      </c>
      <c r="E363" s="42" t="s">
        <v>1590</v>
      </c>
      <c r="H363" s="22" t="s">
        <v>1635</v>
      </c>
    </row>
    <row r="364" spans="1:13" ht="16.5" customHeight="1">
      <c r="A364" s="42" t="str">
        <f t="shared" si="10"/>
        <v>C363</v>
      </c>
      <c r="B364" s="42" t="s">
        <v>1633</v>
      </c>
      <c r="C364" s="22" t="s">
        <v>1636</v>
      </c>
      <c r="D364" s="42" t="s">
        <v>1637</v>
      </c>
      <c r="E364" s="42" t="s">
        <v>438</v>
      </c>
      <c r="F364" s="22" t="s">
        <v>1638</v>
      </c>
      <c r="H364" s="22" t="s">
        <v>1639</v>
      </c>
    </row>
    <row r="365" spans="1:13" ht="16.5" customHeight="1">
      <c r="A365" s="42" t="str">
        <f t="shared" si="10"/>
        <v>C364</v>
      </c>
      <c r="B365" s="42" t="s">
        <v>1633</v>
      </c>
      <c r="C365" s="22" t="s">
        <v>1640</v>
      </c>
      <c r="D365" s="42" t="s">
        <v>1641</v>
      </c>
      <c r="E365" s="42" t="s">
        <v>1642</v>
      </c>
      <c r="F365" s="22" t="s">
        <v>1643</v>
      </c>
      <c r="H365" s="22" t="s">
        <v>1644</v>
      </c>
    </row>
    <row r="366" spans="1:13" ht="16.5" customHeight="1">
      <c r="A366" s="42" t="str">
        <f t="shared" si="10"/>
        <v>C365</v>
      </c>
      <c r="B366" s="42" t="s">
        <v>1633</v>
      </c>
      <c r="C366" s="22" t="s">
        <v>1645</v>
      </c>
      <c r="D366" s="42" t="s">
        <v>1646</v>
      </c>
      <c r="E366" s="42" t="s">
        <v>1647</v>
      </c>
      <c r="F366" s="22" t="s">
        <v>1648</v>
      </c>
    </row>
    <row r="367" spans="1:13" ht="16.5" customHeight="1">
      <c r="A367" s="42" t="str">
        <f t="shared" si="10"/>
        <v>C366</v>
      </c>
      <c r="C367" s="22" t="s">
        <v>1649</v>
      </c>
      <c r="D367" s="42" t="s">
        <v>1650</v>
      </c>
      <c r="E367" s="42" t="s">
        <v>229</v>
      </c>
      <c r="F367" s="22" t="s">
        <v>1651</v>
      </c>
      <c r="G367" t="s">
        <v>1652</v>
      </c>
      <c r="H367" s="22" t="s">
        <v>1653</v>
      </c>
    </row>
    <row r="368" spans="1:13" ht="16.5" customHeight="1">
      <c r="A368" s="42" t="str">
        <f t="shared" si="10"/>
        <v>C367</v>
      </c>
      <c r="C368" s="22" t="s">
        <v>1649</v>
      </c>
      <c r="D368" s="42" t="s">
        <v>1654</v>
      </c>
      <c r="E368" s="42" t="s">
        <v>224</v>
      </c>
      <c r="F368" s="22" t="s">
        <v>1655</v>
      </c>
      <c r="G368" t="s">
        <v>1656</v>
      </c>
      <c r="H368" s="22" t="s">
        <v>1657</v>
      </c>
    </row>
    <row r="369" spans="1:11" ht="16.5" customHeight="1">
      <c r="A369" s="42" t="str">
        <f t="shared" si="10"/>
        <v>C368</v>
      </c>
      <c r="C369" s="22" t="s">
        <v>1649</v>
      </c>
      <c r="D369" s="42" t="s">
        <v>1658</v>
      </c>
      <c r="E369" s="42" t="s">
        <v>426</v>
      </c>
      <c r="F369" s="22" t="s">
        <v>1659</v>
      </c>
      <c r="G369" t="s">
        <v>1660</v>
      </c>
      <c r="H369" s="22" t="s">
        <v>1661</v>
      </c>
    </row>
    <row r="370" spans="1:11" ht="16.5" customHeight="1">
      <c r="A370" s="42" t="str">
        <f t="shared" si="10"/>
        <v>C369</v>
      </c>
      <c r="C370" s="22" t="s">
        <v>1662</v>
      </c>
      <c r="D370" s="42" t="s">
        <v>1663</v>
      </c>
      <c r="E370" s="42" t="s">
        <v>1664</v>
      </c>
      <c r="F370" s="22" t="s">
        <v>1665</v>
      </c>
      <c r="G370" t="s">
        <v>1666</v>
      </c>
      <c r="H370" s="22" t="s">
        <v>1667</v>
      </c>
      <c r="J370" s="42">
        <v>1</v>
      </c>
    </row>
    <row r="371" spans="1:11" ht="16.5" customHeight="1">
      <c r="A371" s="42" t="str">
        <f t="shared" si="10"/>
        <v>C370</v>
      </c>
      <c r="C371" s="22" t="s">
        <v>1662</v>
      </c>
      <c r="D371" s="42" t="s">
        <v>1668</v>
      </c>
      <c r="E371" s="42" t="s">
        <v>1669</v>
      </c>
      <c r="F371" s="22" t="s">
        <v>1670</v>
      </c>
      <c r="G371" t="s">
        <v>1671</v>
      </c>
      <c r="H371" s="22" t="s">
        <v>1672</v>
      </c>
      <c r="I371" s="22" t="s">
        <v>18</v>
      </c>
      <c r="J371" s="42">
        <v>1</v>
      </c>
    </row>
    <row r="372" spans="1:11" ht="16.5" customHeight="1">
      <c r="A372" s="42" t="str">
        <f t="shared" si="10"/>
        <v>C371</v>
      </c>
      <c r="C372" s="22" t="s">
        <v>1662</v>
      </c>
      <c r="D372" s="42" t="s">
        <v>1673</v>
      </c>
      <c r="E372" s="42" t="s">
        <v>1674</v>
      </c>
      <c r="F372" s="22" t="s">
        <v>1675</v>
      </c>
      <c r="G372" t="s">
        <v>1676</v>
      </c>
      <c r="H372" s="22" t="s">
        <v>1677</v>
      </c>
      <c r="I372" s="22" t="s">
        <v>18</v>
      </c>
      <c r="J372" s="42">
        <v>2</v>
      </c>
    </row>
    <row r="373" spans="1:11" ht="16.5" customHeight="1">
      <c r="A373" s="42" t="str">
        <f t="shared" si="10"/>
        <v>C372</v>
      </c>
      <c r="C373" s="22" t="s">
        <v>1678</v>
      </c>
      <c r="D373" s="42" t="s">
        <v>1679</v>
      </c>
      <c r="E373" s="42" t="s">
        <v>1680</v>
      </c>
      <c r="F373" s="22" t="s">
        <v>1681</v>
      </c>
      <c r="G373" t="s">
        <v>1682</v>
      </c>
      <c r="H373" s="22" t="s">
        <v>1683</v>
      </c>
    </row>
    <row r="374" spans="1:11" ht="16.5" customHeight="1">
      <c r="A374" s="42" t="str">
        <f t="shared" si="10"/>
        <v>C373</v>
      </c>
      <c r="C374" s="22" t="s">
        <v>1678</v>
      </c>
      <c r="D374" s="42" t="s">
        <v>1684</v>
      </c>
      <c r="E374" s="42" t="s">
        <v>62</v>
      </c>
      <c r="F374" s="22" t="s">
        <v>1685</v>
      </c>
      <c r="G374" t="s">
        <v>1686</v>
      </c>
      <c r="H374" s="22" t="s">
        <v>1687</v>
      </c>
    </row>
    <row r="375" spans="1:11" ht="16.5" customHeight="1">
      <c r="A375" s="42" t="str">
        <f t="shared" si="10"/>
        <v>C374</v>
      </c>
      <c r="C375" s="22" t="s">
        <v>1678</v>
      </c>
      <c r="D375" s="42" t="s">
        <v>1688</v>
      </c>
      <c r="E375" s="42" t="s">
        <v>1689</v>
      </c>
      <c r="F375" s="22" t="s">
        <v>1690</v>
      </c>
      <c r="G375" t="s">
        <v>1691</v>
      </c>
      <c r="H375" s="22" t="s">
        <v>1692</v>
      </c>
    </row>
    <row r="376" spans="1:11" ht="16.5" customHeight="1">
      <c r="A376" s="42" t="str">
        <f t="shared" si="10"/>
        <v>C375</v>
      </c>
      <c r="B376" s="42" t="s">
        <v>1693</v>
      </c>
      <c r="C376" s="22" t="s">
        <v>354</v>
      </c>
      <c r="D376" s="42" t="s">
        <v>1694</v>
      </c>
      <c r="E376" s="42" t="s">
        <v>1695</v>
      </c>
      <c r="H376" s="22" t="s">
        <v>1696</v>
      </c>
    </row>
    <row r="377" spans="1:11" ht="16.5" customHeight="1">
      <c r="A377" s="42" t="str">
        <f t="shared" si="10"/>
        <v>C376</v>
      </c>
      <c r="B377" s="42" t="s">
        <v>1693</v>
      </c>
      <c r="C377" s="22" t="s">
        <v>1290</v>
      </c>
      <c r="D377" s="42" t="s">
        <v>1697</v>
      </c>
      <c r="E377" s="42" t="s">
        <v>1698</v>
      </c>
      <c r="F377" s="22" t="s">
        <v>1699</v>
      </c>
      <c r="H377" s="22" t="s">
        <v>1700</v>
      </c>
    </row>
    <row r="378" spans="1:11" ht="16.5" customHeight="1">
      <c r="A378" s="42" t="str">
        <f t="shared" si="10"/>
        <v>C377</v>
      </c>
      <c r="B378" s="42" t="s">
        <v>1693</v>
      </c>
      <c r="C378" s="22" t="s">
        <v>1701</v>
      </c>
      <c r="D378" s="42" t="s">
        <v>1702</v>
      </c>
      <c r="E378" s="42" t="s">
        <v>1703</v>
      </c>
      <c r="H378" s="22" t="s">
        <v>1704</v>
      </c>
    </row>
    <row r="379" spans="1:11" ht="16.5" customHeight="1">
      <c r="A379" s="42" t="str">
        <f t="shared" si="10"/>
        <v>C378</v>
      </c>
      <c r="B379" s="42" t="s">
        <v>1693</v>
      </c>
      <c r="C379" s="22" t="s">
        <v>1705</v>
      </c>
      <c r="D379" s="42" t="s">
        <v>1706</v>
      </c>
      <c r="E379" s="42" t="s">
        <v>1707</v>
      </c>
      <c r="H379" s="22" t="s">
        <v>1708</v>
      </c>
    </row>
    <row r="380" spans="1:11" ht="16.5" customHeight="1">
      <c r="A380" s="42" t="str">
        <f t="shared" si="10"/>
        <v>C379</v>
      </c>
      <c r="B380" s="42" t="s">
        <v>1693</v>
      </c>
      <c r="C380" s="22" t="s">
        <v>1709</v>
      </c>
      <c r="D380" s="42" t="s">
        <v>1710</v>
      </c>
      <c r="E380" s="42" t="s">
        <v>1711</v>
      </c>
      <c r="G380" t="s">
        <v>1712</v>
      </c>
      <c r="H380" s="22" t="s">
        <v>1713</v>
      </c>
      <c r="I380" s="22" t="s">
        <v>18</v>
      </c>
    </row>
    <row r="381" spans="1:11" ht="16.5" customHeight="1">
      <c r="A381" s="42" t="str">
        <f t="shared" si="10"/>
        <v>C380</v>
      </c>
      <c r="B381" s="42" t="s">
        <v>1714</v>
      </c>
      <c r="C381" s="22" t="s">
        <v>1715</v>
      </c>
      <c r="D381" s="42" t="s">
        <v>1716</v>
      </c>
      <c r="E381" s="42" t="s">
        <v>1717</v>
      </c>
      <c r="F381" s="22" t="s">
        <v>1718</v>
      </c>
      <c r="H381" s="22" t="s">
        <v>1719</v>
      </c>
    </row>
    <row r="382" spans="1:11" ht="16.5" customHeight="1">
      <c r="A382" s="42" t="str">
        <f t="shared" si="10"/>
        <v>C381</v>
      </c>
      <c r="B382" s="42" t="s">
        <v>1714</v>
      </c>
      <c r="C382" s="22" t="s">
        <v>1720</v>
      </c>
      <c r="D382" s="42" t="s">
        <v>1721</v>
      </c>
      <c r="E382" s="42" t="s">
        <v>1722</v>
      </c>
      <c r="F382" s="22" t="s">
        <v>1723</v>
      </c>
      <c r="H382" s="22" t="s">
        <v>1724</v>
      </c>
    </row>
    <row r="383" spans="1:11" ht="16.5" customHeight="1">
      <c r="A383" s="42" t="str">
        <f t="shared" si="10"/>
        <v>C382</v>
      </c>
      <c r="B383" s="42" t="s">
        <v>1714</v>
      </c>
      <c r="C383" s="22" t="s">
        <v>49</v>
      </c>
      <c r="D383" s="42" t="s">
        <v>1725</v>
      </c>
      <c r="E383" s="42" t="s">
        <v>1726</v>
      </c>
      <c r="F383" s="22" t="s">
        <v>1727</v>
      </c>
      <c r="H383" s="22" t="s">
        <v>1728</v>
      </c>
      <c r="I383" s="22" t="s">
        <v>18</v>
      </c>
      <c r="K383" t="s">
        <v>60</v>
      </c>
    </row>
    <row r="384" spans="1:11" ht="16.5" customHeight="1">
      <c r="A384" s="42" t="str">
        <f t="shared" si="10"/>
        <v>C383</v>
      </c>
      <c r="B384" s="42" t="s">
        <v>1714</v>
      </c>
      <c r="C384" s="22" t="s">
        <v>1729</v>
      </c>
      <c r="D384" s="42" t="s">
        <v>1730</v>
      </c>
      <c r="E384" s="42" t="s">
        <v>62</v>
      </c>
      <c r="F384" s="22" t="s">
        <v>1731</v>
      </c>
      <c r="G384" t="s">
        <v>1732</v>
      </c>
      <c r="H384" s="22" t="s">
        <v>1733</v>
      </c>
    </row>
    <row r="385" spans="1:14" ht="16.5" customHeight="1">
      <c r="A385" s="42" t="str">
        <f t="shared" si="10"/>
        <v>C384</v>
      </c>
      <c r="B385" s="42" t="s">
        <v>1714</v>
      </c>
      <c r="C385" s="22" t="s">
        <v>151</v>
      </c>
      <c r="D385" s="42" t="s">
        <v>1734</v>
      </c>
      <c r="E385" s="42" t="s">
        <v>1735</v>
      </c>
      <c r="F385" s="21" t="s">
        <v>1736</v>
      </c>
      <c r="H385" s="21" t="s">
        <v>1737</v>
      </c>
      <c r="I385" s="22" t="s">
        <v>18</v>
      </c>
      <c r="J385" s="22"/>
      <c r="K385" t="s">
        <v>60</v>
      </c>
    </row>
    <row r="386" spans="1:14" ht="16.5" customHeight="1">
      <c r="A386" s="42" t="str">
        <f t="shared" si="10"/>
        <v>C385</v>
      </c>
      <c r="B386" s="42" t="s">
        <v>1714</v>
      </c>
      <c r="C386" s="22" t="s">
        <v>1738</v>
      </c>
      <c r="D386" s="42" t="s">
        <v>1739</v>
      </c>
      <c r="E386" s="42" t="s">
        <v>1740</v>
      </c>
      <c r="F386" s="22" t="s">
        <v>1741</v>
      </c>
      <c r="G386" t="s">
        <v>1742</v>
      </c>
      <c r="H386" s="22" t="s">
        <v>1743</v>
      </c>
    </row>
    <row r="387" spans="1:14" ht="16.5" customHeight="1">
      <c r="A387" s="42" t="str">
        <f t="shared" si="10"/>
        <v>C386</v>
      </c>
      <c r="B387" s="42" t="s">
        <v>1714</v>
      </c>
      <c r="C387" s="22" t="s">
        <v>1744</v>
      </c>
      <c r="D387" s="42" t="s">
        <v>1745</v>
      </c>
      <c r="E387" s="42" t="s">
        <v>1541</v>
      </c>
      <c r="F387" s="22" t="s">
        <v>1746</v>
      </c>
      <c r="G387" t="s">
        <v>1747</v>
      </c>
      <c r="H387" s="22" t="s">
        <v>1748</v>
      </c>
    </row>
    <row r="388" spans="1:14" ht="16.5" customHeight="1">
      <c r="A388" s="42" t="str">
        <f t="shared" si="10"/>
        <v>C387</v>
      </c>
      <c r="C388" s="22" t="s">
        <v>1749</v>
      </c>
      <c r="D388" s="42" t="s">
        <v>1750</v>
      </c>
      <c r="E388" s="42" t="s">
        <v>1751</v>
      </c>
      <c r="F388" s="20" t="s">
        <v>1752</v>
      </c>
      <c r="G388" t="s">
        <v>1753</v>
      </c>
      <c r="H388" s="22" t="s">
        <v>1754</v>
      </c>
      <c r="I388" s="22" t="s">
        <v>18</v>
      </c>
      <c r="N388" s="20" t="s">
        <v>1755</v>
      </c>
    </row>
    <row r="389" spans="1:14" ht="16.5" customHeight="1">
      <c r="A389" s="42" t="str">
        <f t="shared" si="10"/>
        <v>C388</v>
      </c>
      <c r="C389" s="22" t="s">
        <v>1749</v>
      </c>
      <c r="D389" s="42" t="s">
        <v>1756</v>
      </c>
      <c r="E389" s="42" t="s">
        <v>1119</v>
      </c>
      <c r="G389" t="s">
        <v>1757</v>
      </c>
      <c r="H389" s="22" t="s">
        <v>1758</v>
      </c>
      <c r="I389" s="22" t="s">
        <v>18</v>
      </c>
      <c r="J389" s="42">
        <v>1</v>
      </c>
    </row>
    <row r="390" spans="1:14" ht="16.5" customHeight="1">
      <c r="A390" s="42" t="str">
        <f t="shared" si="10"/>
        <v>C389</v>
      </c>
      <c r="C390" s="22" t="s">
        <v>1749</v>
      </c>
      <c r="D390" s="42" t="s">
        <v>1759</v>
      </c>
      <c r="E390" s="42" t="s">
        <v>1760</v>
      </c>
      <c r="G390" t="s">
        <v>1761</v>
      </c>
      <c r="H390" s="22" t="s">
        <v>1762</v>
      </c>
    </row>
    <row r="391" spans="1:14" ht="16.5" customHeight="1">
      <c r="A391" s="42" t="str">
        <f t="shared" si="10"/>
        <v>C390</v>
      </c>
      <c r="B391" s="42" t="s">
        <v>1763</v>
      </c>
      <c r="C391" s="22" t="s">
        <v>1764</v>
      </c>
      <c r="D391" s="42" t="s">
        <v>1765</v>
      </c>
      <c r="E391" s="42" t="s">
        <v>1766</v>
      </c>
      <c r="F391" s="22" t="s">
        <v>1767</v>
      </c>
      <c r="H391" s="22" t="s">
        <v>1768</v>
      </c>
    </row>
    <row r="392" spans="1:14" ht="16.5" customHeight="1">
      <c r="A392" s="42" t="str">
        <f t="shared" si="10"/>
        <v>C391</v>
      </c>
      <c r="B392" s="42" t="s">
        <v>1714</v>
      </c>
      <c r="C392" s="22" t="s">
        <v>1769</v>
      </c>
      <c r="D392" s="42" t="s">
        <v>1770</v>
      </c>
      <c r="E392" s="42" t="s">
        <v>1771</v>
      </c>
      <c r="G392" t="s">
        <v>1772</v>
      </c>
      <c r="H392" s="22" t="s">
        <v>1773</v>
      </c>
    </row>
    <row r="393" spans="1:14" ht="16.5" customHeight="1">
      <c r="A393" s="42" t="str">
        <f t="shared" si="10"/>
        <v>C392</v>
      </c>
      <c r="B393" s="42" t="s">
        <v>1763</v>
      </c>
      <c r="C393" s="22" t="s">
        <v>1662</v>
      </c>
      <c r="D393" s="42" t="s">
        <v>1774</v>
      </c>
      <c r="E393" s="42" t="s">
        <v>1775</v>
      </c>
      <c r="F393" s="22" t="s">
        <v>1776</v>
      </c>
      <c r="H393" s="22" t="s">
        <v>1777</v>
      </c>
    </row>
    <row r="394" spans="1:14" ht="16.5" customHeight="1">
      <c r="A394" s="42" t="str">
        <f t="shared" si="10"/>
        <v>C393</v>
      </c>
      <c r="B394" s="42" t="s">
        <v>1763</v>
      </c>
      <c r="C394" s="22" t="s">
        <v>1778</v>
      </c>
      <c r="D394" s="42" t="s">
        <v>1779</v>
      </c>
      <c r="E394" s="42" t="s">
        <v>1780</v>
      </c>
      <c r="H394" s="22" t="s">
        <v>1781</v>
      </c>
    </row>
    <row r="395" spans="1:14" ht="16.5" customHeight="1">
      <c r="A395" s="42" t="str">
        <f t="shared" si="10"/>
        <v>C394</v>
      </c>
      <c r="C395" s="22" t="s">
        <v>1535</v>
      </c>
      <c r="D395" s="42" t="s">
        <v>1782</v>
      </c>
      <c r="E395" s="42" t="s">
        <v>410</v>
      </c>
      <c r="F395" s="22" t="s">
        <v>1783</v>
      </c>
      <c r="G395" t="s">
        <v>1784</v>
      </c>
      <c r="H395" s="22" t="s">
        <v>1785</v>
      </c>
    </row>
    <row r="396" spans="1:14" ht="16.5" customHeight="1">
      <c r="A396" s="42" t="str">
        <f t="shared" si="10"/>
        <v>C395</v>
      </c>
      <c r="C396" s="22" t="s">
        <v>1535</v>
      </c>
      <c r="D396" s="42" t="s">
        <v>1786</v>
      </c>
      <c r="E396" s="42" t="s">
        <v>462</v>
      </c>
      <c r="F396" s="22" t="s">
        <v>1787</v>
      </c>
      <c r="G396" t="s">
        <v>1788</v>
      </c>
      <c r="H396" s="22" t="s">
        <v>1789</v>
      </c>
    </row>
    <row r="397" spans="1:14" ht="16.5" customHeight="1">
      <c r="A397" s="42" t="str">
        <f t="shared" si="10"/>
        <v>C396</v>
      </c>
      <c r="C397" s="22" t="s">
        <v>1790</v>
      </c>
      <c r="D397" s="42" t="s">
        <v>1791</v>
      </c>
      <c r="E397" s="42" t="s">
        <v>963</v>
      </c>
      <c r="F397" s="22" t="s">
        <v>1792</v>
      </c>
      <c r="G397" t="s">
        <v>1793</v>
      </c>
      <c r="H397" s="22" t="s">
        <v>1794</v>
      </c>
      <c r="I397" s="22" t="s">
        <v>18</v>
      </c>
      <c r="M397" s="20" t="s">
        <v>1795</v>
      </c>
      <c r="N397" t="s">
        <v>1796</v>
      </c>
    </row>
    <row r="398" spans="1:14" ht="16.5" customHeight="1">
      <c r="A398" s="42" t="str">
        <f t="shared" si="10"/>
        <v>C397</v>
      </c>
      <c r="C398" s="22" t="s">
        <v>1790</v>
      </c>
      <c r="D398" s="42" t="s">
        <v>1797</v>
      </c>
      <c r="E398" s="42" t="s">
        <v>579</v>
      </c>
      <c r="F398" s="22" t="s">
        <v>1798</v>
      </c>
      <c r="G398" t="s">
        <v>1799</v>
      </c>
      <c r="H398" s="22" t="s">
        <v>1800</v>
      </c>
      <c r="I398" s="22" t="s">
        <v>18</v>
      </c>
      <c r="M398" s="20" t="s">
        <v>1801</v>
      </c>
    </row>
    <row r="399" spans="1:14" ht="16.5" customHeight="1">
      <c r="A399" s="42" t="str">
        <f t="shared" si="10"/>
        <v>C398</v>
      </c>
      <c r="C399" s="22" t="s">
        <v>1790</v>
      </c>
      <c r="D399" s="42" t="s">
        <v>1802</v>
      </c>
      <c r="E399" s="42" t="s">
        <v>173</v>
      </c>
      <c r="F399" s="22" t="s">
        <v>1803</v>
      </c>
      <c r="G399" t="s">
        <v>1804</v>
      </c>
      <c r="H399" s="22" t="s">
        <v>1805</v>
      </c>
    </row>
    <row r="400" spans="1:14" ht="16.5" customHeight="1">
      <c r="A400" s="42" t="str">
        <f t="shared" si="10"/>
        <v>C399</v>
      </c>
      <c r="C400" s="22" t="s">
        <v>1790</v>
      </c>
      <c r="D400" s="42" t="s">
        <v>1806</v>
      </c>
      <c r="E400" s="42" t="s">
        <v>410</v>
      </c>
      <c r="F400" s="22" t="s">
        <v>1807</v>
      </c>
      <c r="G400" t="s">
        <v>1808</v>
      </c>
      <c r="H400" s="22" t="s">
        <v>1809</v>
      </c>
    </row>
    <row r="401" spans="1:13" ht="16.5" customHeight="1">
      <c r="A401" s="42" t="str">
        <f t="shared" si="10"/>
        <v>C400</v>
      </c>
      <c r="B401" s="42" t="s">
        <v>1810</v>
      </c>
      <c r="C401" s="22" t="s">
        <v>345</v>
      </c>
      <c r="D401" s="42" t="s">
        <v>1811</v>
      </c>
      <c r="E401" s="42" t="s">
        <v>62</v>
      </c>
      <c r="F401" s="22" t="s">
        <v>1812</v>
      </c>
      <c r="G401" t="s">
        <v>1813</v>
      </c>
      <c r="H401" s="22" t="s">
        <v>1814</v>
      </c>
    </row>
    <row r="402" spans="1:13" ht="16.5" customHeight="1">
      <c r="A402" s="42" t="str">
        <f t="shared" si="10"/>
        <v>C401</v>
      </c>
      <c r="B402" s="42" t="s">
        <v>1810</v>
      </c>
      <c r="C402" s="22" t="s">
        <v>1815</v>
      </c>
      <c r="D402" s="42" t="s">
        <v>1816</v>
      </c>
      <c r="E402" s="42" t="s">
        <v>1817</v>
      </c>
      <c r="H402" s="22" t="s">
        <v>1818</v>
      </c>
    </row>
    <row r="403" spans="1:13" ht="16.5" customHeight="1">
      <c r="A403" s="42" t="str">
        <f t="shared" si="10"/>
        <v>C402</v>
      </c>
      <c r="B403" s="42" t="s">
        <v>1819</v>
      </c>
      <c r="C403" s="22" t="s">
        <v>1820</v>
      </c>
      <c r="D403" s="42" t="s">
        <v>1821</v>
      </c>
      <c r="E403" s="42" t="s">
        <v>438</v>
      </c>
      <c r="F403" s="22" t="s">
        <v>1822</v>
      </c>
      <c r="H403" s="22" t="s">
        <v>1823</v>
      </c>
    </row>
    <row r="404" spans="1:13" ht="16.5" customHeight="1">
      <c r="A404" s="42" t="str">
        <f t="shared" si="10"/>
        <v>C403</v>
      </c>
      <c r="B404" s="42" t="s">
        <v>1824</v>
      </c>
      <c r="C404" s="22" t="s">
        <v>1825</v>
      </c>
      <c r="D404" s="42" t="s">
        <v>1826</v>
      </c>
      <c r="E404" s="42" t="s">
        <v>1827</v>
      </c>
      <c r="H404" s="22" t="s">
        <v>1828</v>
      </c>
    </row>
    <row r="405" spans="1:13" ht="16.5" customHeight="1">
      <c r="A405" s="42" t="str">
        <f t="shared" si="10"/>
        <v>C404</v>
      </c>
      <c r="B405" s="42" t="s">
        <v>1824</v>
      </c>
      <c r="C405" s="22" t="s">
        <v>1829</v>
      </c>
      <c r="D405" s="42" t="s">
        <v>1830</v>
      </c>
      <c r="E405" s="42" t="s">
        <v>456</v>
      </c>
      <c r="F405" s="22" t="s">
        <v>1831</v>
      </c>
      <c r="G405" t="s">
        <v>1832</v>
      </c>
      <c r="H405" s="22" t="s">
        <v>1833</v>
      </c>
      <c r="I405" s="22" t="s">
        <v>18</v>
      </c>
      <c r="J405" s="42">
        <v>3</v>
      </c>
    </row>
    <row r="406" spans="1:13" ht="16.5" customHeight="1">
      <c r="A406" s="42" t="str">
        <f t="shared" si="10"/>
        <v>C405</v>
      </c>
      <c r="B406" s="42" t="s">
        <v>1834</v>
      </c>
      <c r="C406" s="22" t="s">
        <v>1835</v>
      </c>
      <c r="D406" s="42" t="s">
        <v>1836</v>
      </c>
      <c r="E406" s="42" t="s">
        <v>1443</v>
      </c>
      <c r="F406" s="22" t="s">
        <v>1837</v>
      </c>
      <c r="I406" s="22" t="s">
        <v>18</v>
      </c>
    </row>
    <row r="407" spans="1:13" ht="16.5" customHeight="1">
      <c r="A407" s="42" t="str">
        <f t="shared" si="10"/>
        <v>C406</v>
      </c>
      <c r="C407" s="22" t="s">
        <v>1838</v>
      </c>
      <c r="D407" s="42" t="s">
        <v>1839</v>
      </c>
      <c r="E407" s="42" t="s">
        <v>1840</v>
      </c>
      <c r="F407" s="22" t="s">
        <v>1841</v>
      </c>
      <c r="H407" s="22" t="s">
        <v>1842</v>
      </c>
    </row>
    <row r="408" spans="1:13" ht="16.5" customHeight="1">
      <c r="A408" s="42" t="str">
        <f t="shared" si="10"/>
        <v>C407</v>
      </c>
      <c r="C408" s="22" t="s">
        <v>1838</v>
      </c>
      <c r="D408" s="42" t="s">
        <v>1843</v>
      </c>
      <c r="E408" s="42" t="s">
        <v>1844</v>
      </c>
      <c r="F408" s="22" t="s">
        <v>1845</v>
      </c>
      <c r="G408" t="s">
        <v>1846</v>
      </c>
      <c r="H408" s="22" t="s">
        <v>1847</v>
      </c>
    </row>
    <row r="409" spans="1:13" ht="16.5" customHeight="1">
      <c r="A409" s="42" t="str">
        <f t="shared" si="10"/>
        <v>C408</v>
      </c>
      <c r="C409" s="22" t="s">
        <v>1838</v>
      </c>
      <c r="D409" s="42" t="s">
        <v>1848</v>
      </c>
      <c r="E409" s="42" t="s">
        <v>673</v>
      </c>
      <c r="F409" s="22" t="s">
        <v>1849</v>
      </c>
      <c r="G409" t="s">
        <v>1850</v>
      </c>
      <c r="H409" s="22" t="s">
        <v>1851</v>
      </c>
      <c r="I409" s="22" t="s">
        <v>18</v>
      </c>
    </row>
    <row r="410" spans="1:13" ht="16.5" customHeight="1">
      <c r="A410" s="42" t="str">
        <f t="shared" ref="A410:A473" si="11">_xlfn.CONCAT("C",TEXT(ROW()-1,"000"))</f>
        <v>C409</v>
      </c>
      <c r="C410" s="22" t="s">
        <v>1838</v>
      </c>
      <c r="D410" s="42" t="s">
        <v>1852</v>
      </c>
      <c r="E410" s="42" t="s">
        <v>1853</v>
      </c>
      <c r="F410" s="22" t="s">
        <v>1854</v>
      </c>
      <c r="G410" t="s">
        <v>1855</v>
      </c>
      <c r="H410" s="22" t="s">
        <v>1856</v>
      </c>
      <c r="I410" s="22" t="s">
        <v>18</v>
      </c>
    </row>
    <row r="411" spans="1:13" ht="16.5" customHeight="1">
      <c r="A411" s="42" t="str">
        <f t="shared" si="11"/>
        <v>C410</v>
      </c>
      <c r="C411" s="22" t="s">
        <v>1857</v>
      </c>
      <c r="D411" s="42" t="s">
        <v>1858</v>
      </c>
      <c r="E411" s="42" t="s">
        <v>94</v>
      </c>
      <c r="F411" s="22" t="s">
        <v>1859</v>
      </c>
      <c r="H411" s="22" t="s">
        <v>1860</v>
      </c>
      <c r="I411" s="22" t="s">
        <v>18</v>
      </c>
      <c r="J411" s="42">
        <v>3</v>
      </c>
    </row>
    <row r="412" spans="1:13" ht="16.5" customHeight="1">
      <c r="A412" s="42" t="str">
        <f t="shared" si="11"/>
        <v>C411</v>
      </c>
      <c r="C412" s="22" t="s">
        <v>1857</v>
      </c>
      <c r="D412" s="42" t="s">
        <v>1861</v>
      </c>
      <c r="E412" s="42" t="s">
        <v>1862</v>
      </c>
      <c r="F412" s="22" t="s">
        <v>1863</v>
      </c>
      <c r="G412" t="s">
        <v>1864</v>
      </c>
      <c r="H412" s="22" t="s">
        <v>1865</v>
      </c>
      <c r="I412" s="22" t="s">
        <v>18</v>
      </c>
      <c r="J412" s="42">
        <v>3</v>
      </c>
    </row>
    <row r="413" spans="1:13" ht="16.5" customHeight="1">
      <c r="A413" s="42" t="str">
        <f t="shared" si="11"/>
        <v>C412</v>
      </c>
      <c r="C413" s="22" t="s">
        <v>460</v>
      </c>
      <c r="D413" s="42" t="s">
        <v>1866</v>
      </c>
      <c r="E413" s="42" t="s">
        <v>898</v>
      </c>
      <c r="F413" s="22" t="s">
        <v>1867</v>
      </c>
      <c r="G413" t="s">
        <v>1868</v>
      </c>
      <c r="H413" s="22" t="s">
        <v>1869</v>
      </c>
      <c r="M413" t="s">
        <v>1870</v>
      </c>
    </row>
    <row r="414" spans="1:13" ht="16.5" customHeight="1">
      <c r="A414" s="42" t="str">
        <f t="shared" si="11"/>
        <v>C413</v>
      </c>
      <c r="C414" s="22" t="s">
        <v>460</v>
      </c>
      <c r="D414" s="42" t="s">
        <v>1871</v>
      </c>
      <c r="E414" s="42" t="s">
        <v>62</v>
      </c>
      <c r="F414" s="22" t="s">
        <v>1872</v>
      </c>
    </row>
    <row r="415" spans="1:13" ht="16.5" customHeight="1">
      <c r="A415" s="42" t="str">
        <f t="shared" si="11"/>
        <v>C414</v>
      </c>
      <c r="C415" s="22" t="s">
        <v>460</v>
      </c>
      <c r="D415" s="42" t="s">
        <v>1873</v>
      </c>
      <c r="E415" s="42" t="s">
        <v>62</v>
      </c>
      <c r="F415" s="22" t="s">
        <v>1874</v>
      </c>
      <c r="G415" t="s">
        <v>1875</v>
      </c>
    </row>
    <row r="416" spans="1:13" ht="16.5" customHeight="1">
      <c r="A416" s="42" t="str">
        <f t="shared" si="11"/>
        <v>C415</v>
      </c>
      <c r="C416" s="22" t="s">
        <v>1876</v>
      </c>
      <c r="D416" s="42" t="s">
        <v>1877</v>
      </c>
      <c r="E416" s="42" t="s">
        <v>224</v>
      </c>
      <c r="F416" s="22" t="s">
        <v>1878</v>
      </c>
      <c r="G416" t="s">
        <v>1879</v>
      </c>
      <c r="H416" s="22" t="s">
        <v>1880</v>
      </c>
      <c r="J416" s="42">
        <v>2</v>
      </c>
    </row>
    <row r="417" spans="1:10" ht="16.5" customHeight="1">
      <c r="A417" s="42" t="str">
        <f t="shared" si="11"/>
        <v>C416</v>
      </c>
      <c r="C417" s="22" t="s">
        <v>1876</v>
      </c>
      <c r="D417" s="42" t="s">
        <v>1881</v>
      </c>
      <c r="E417" s="42" t="s">
        <v>1882</v>
      </c>
      <c r="F417" s="22" t="s">
        <v>1883</v>
      </c>
      <c r="G417" t="s">
        <v>1884</v>
      </c>
      <c r="H417" s="22" t="s">
        <v>1885</v>
      </c>
      <c r="J417" s="42">
        <v>2</v>
      </c>
    </row>
    <row r="418" spans="1:10" ht="16.5" customHeight="1">
      <c r="A418" s="42" t="str">
        <f t="shared" si="11"/>
        <v>C417</v>
      </c>
      <c r="C418" s="22" t="s">
        <v>1876</v>
      </c>
      <c r="D418" s="42" t="s">
        <v>1886</v>
      </c>
      <c r="E418" s="42" t="s">
        <v>224</v>
      </c>
      <c r="F418" s="22" t="s">
        <v>1887</v>
      </c>
      <c r="G418" t="s">
        <v>1888</v>
      </c>
      <c r="H418" s="22" t="s">
        <v>1889</v>
      </c>
      <c r="J418" s="42">
        <v>2</v>
      </c>
    </row>
    <row r="419" spans="1:10" ht="16.5" customHeight="1">
      <c r="A419" s="42" t="str">
        <f t="shared" si="11"/>
        <v>C418</v>
      </c>
      <c r="C419" s="22" t="s">
        <v>1778</v>
      </c>
      <c r="D419" s="42" t="s">
        <v>1890</v>
      </c>
      <c r="E419" s="42" t="s">
        <v>857</v>
      </c>
      <c r="F419" s="22" t="s">
        <v>1891</v>
      </c>
      <c r="G419" t="s">
        <v>1892</v>
      </c>
      <c r="H419" s="22" t="s">
        <v>1893</v>
      </c>
      <c r="J419" s="42">
        <v>2</v>
      </c>
    </row>
    <row r="420" spans="1:10" ht="16.5" customHeight="1">
      <c r="A420" s="42" t="str">
        <f t="shared" si="11"/>
        <v>C419</v>
      </c>
      <c r="C420" s="22" t="s">
        <v>1778</v>
      </c>
      <c r="D420" s="42" t="s">
        <v>1894</v>
      </c>
      <c r="E420" s="42" t="s">
        <v>319</v>
      </c>
      <c r="F420" s="22" t="s">
        <v>1895</v>
      </c>
      <c r="G420" t="s">
        <v>1896</v>
      </c>
      <c r="H420" s="22" t="s">
        <v>1897</v>
      </c>
      <c r="I420" s="22" t="s">
        <v>18</v>
      </c>
      <c r="J420" s="42">
        <v>2</v>
      </c>
    </row>
    <row r="421" spans="1:10" ht="16.5" customHeight="1">
      <c r="A421" s="42" t="str">
        <f t="shared" si="11"/>
        <v>C420</v>
      </c>
      <c r="C421" s="22" t="s">
        <v>1778</v>
      </c>
      <c r="D421" s="42" t="s">
        <v>1898</v>
      </c>
      <c r="E421" s="42" t="s">
        <v>1899</v>
      </c>
      <c r="F421" s="22" t="s">
        <v>1900</v>
      </c>
      <c r="G421" t="s">
        <v>1901</v>
      </c>
      <c r="H421" s="22" t="s">
        <v>1902</v>
      </c>
      <c r="J421" s="42">
        <v>2</v>
      </c>
    </row>
    <row r="422" spans="1:10" ht="16.5" customHeight="1">
      <c r="A422" s="42" t="str">
        <f t="shared" si="11"/>
        <v>C421</v>
      </c>
      <c r="C422" s="22" t="s">
        <v>1778</v>
      </c>
      <c r="D422" s="42" t="s">
        <v>1903</v>
      </c>
      <c r="E422" s="42" t="s">
        <v>1119</v>
      </c>
      <c r="F422" s="22" t="s">
        <v>1904</v>
      </c>
      <c r="G422" t="s">
        <v>1905</v>
      </c>
      <c r="H422" s="22" t="s">
        <v>1906</v>
      </c>
      <c r="I422" s="22" t="s">
        <v>18</v>
      </c>
      <c r="J422" s="42">
        <v>3</v>
      </c>
    </row>
    <row r="423" spans="1:10" ht="16.5" customHeight="1">
      <c r="A423" s="42" t="str">
        <f t="shared" si="11"/>
        <v>C422</v>
      </c>
      <c r="B423" s="42" t="s">
        <v>1907</v>
      </c>
      <c r="C423" s="22" t="s">
        <v>1908</v>
      </c>
      <c r="D423" s="42" t="s">
        <v>1909</v>
      </c>
      <c r="E423" s="42" t="s">
        <v>673</v>
      </c>
      <c r="I423" s="22" t="s">
        <v>18</v>
      </c>
    </row>
    <row r="424" spans="1:10" ht="16.5" customHeight="1">
      <c r="A424" s="42" t="str">
        <f t="shared" si="11"/>
        <v>C423</v>
      </c>
      <c r="B424" s="42" t="s">
        <v>1907</v>
      </c>
      <c r="C424" s="22" t="s">
        <v>1910</v>
      </c>
      <c r="D424" s="42" t="s">
        <v>1911</v>
      </c>
      <c r="E424" s="42" t="s">
        <v>1048</v>
      </c>
      <c r="F424" s="22" t="s">
        <v>1912</v>
      </c>
      <c r="H424" s="22" t="s">
        <v>1913</v>
      </c>
    </row>
    <row r="425" spans="1:10" ht="16.5" customHeight="1">
      <c r="A425" s="42" t="str">
        <f t="shared" si="11"/>
        <v>C424</v>
      </c>
      <c r="B425" s="42" t="s">
        <v>1914</v>
      </c>
      <c r="C425" s="22" t="s">
        <v>1915</v>
      </c>
      <c r="D425" s="42" t="s">
        <v>1916</v>
      </c>
      <c r="E425" s="42" t="s">
        <v>1917</v>
      </c>
      <c r="H425" s="22" t="s">
        <v>1918</v>
      </c>
    </row>
    <row r="426" spans="1:10" ht="16.5" customHeight="1">
      <c r="A426" s="42" t="str">
        <f t="shared" si="11"/>
        <v>C425</v>
      </c>
      <c r="B426" s="42" t="s">
        <v>1914</v>
      </c>
      <c r="C426" s="22" t="s">
        <v>151</v>
      </c>
      <c r="D426" s="42" t="s">
        <v>1919</v>
      </c>
      <c r="E426" s="42" t="s">
        <v>1920</v>
      </c>
      <c r="G426" t="s">
        <v>1921</v>
      </c>
      <c r="H426" s="22" t="s">
        <v>1922</v>
      </c>
      <c r="I426" s="22" t="s">
        <v>18</v>
      </c>
    </row>
    <row r="427" spans="1:10" ht="16.5" customHeight="1">
      <c r="A427" s="42" t="str">
        <f t="shared" si="11"/>
        <v>C426</v>
      </c>
      <c r="B427" s="42" t="s">
        <v>1923</v>
      </c>
      <c r="C427" s="22" t="s">
        <v>471</v>
      </c>
      <c r="D427" s="42" t="s">
        <v>1924</v>
      </c>
      <c r="E427" s="42" t="s">
        <v>1264</v>
      </c>
      <c r="F427" s="22" t="s">
        <v>1925</v>
      </c>
      <c r="H427" s="22" t="s">
        <v>1926</v>
      </c>
    </row>
    <row r="428" spans="1:10" ht="16.5" customHeight="1">
      <c r="A428" s="42" t="str">
        <f t="shared" si="11"/>
        <v>C427</v>
      </c>
      <c r="B428" s="42" t="s">
        <v>1923</v>
      </c>
      <c r="C428" s="22" t="s">
        <v>1927</v>
      </c>
      <c r="D428" s="42" t="s">
        <v>1928</v>
      </c>
      <c r="E428" s="42" t="s">
        <v>1929</v>
      </c>
      <c r="F428" s="22" t="s">
        <v>1930</v>
      </c>
      <c r="G428" t="s">
        <v>1931</v>
      </c>
      <c r="H428" s="22" t="s">
        <v>1932</v>
      </c>
    </row>
    <row r="429" spans="1:10" ht="16.5" customHeight="1">
      <c r="A429" s="42" t="str">
        <f t="shared" si="11"/>
        <v>C428</v>
      </c>
      <c r="B429" s="42" t="s">
        <v>1923</v>
      </c>
      <c r="C429" s="22" t="s">
        <v>1933</v>
      </c>
      <c r="D429" s="42" t="s">
        <v>1934</v>
      </c>
      <c r="E429" s="42" t="s">
        <v>1935</v>
      </c>
      <c r="F429" s="22" t="s">
        <v>1936</v>
      </c>
      <c r="H429" s="22" t="s">
        <v>1937</v>
      </c>
    </row>
    <row r="430" spans="1:10" ht="16.5" customHeight="1">
      <c r="A430" s="42" t="str">
        <f t="shared" si="11"/>
        <v>C429</v>
      </c>
      <c r="B430" s="42" t="s">
        <v>1923</v>
      </c>
      <c r="C430" s="22" t="s">
        <v>966</v>
      </c>
      <c r="D430" s="42" t="s">
        <v>1938</v>
      </c>
      <c r="E430" s="42" t="s">
        <v>1939</v>
      </c>
      <c r="F430" s="22" t="s">
        <v>1940</v>
      </c>
      <c r="H430" s="22" t="s">
        <v>1941</v>
      </c>
    </row>
    <row r="431" spans="1:10" ht="16.5" customHeight="1">
      <c r="A431" s="42" t="str">
        <f t="shared" si="11"/>
        <v>C430</v>
      </c>
      <c r="B431" s="42" t="s">
        <v>1923</v>
      </c>
      <c r="C431" s="22" t="s">
        <v>1942</v>
      </c>
      <c r="D431" s="42" t="s">
        <v>1943</v>
      </c>
      <c r="E431" s="42" t="s">
        <v>62</v>
      </c>
      <c r="F431" s="22" t="s">
        <v>1944</v>
      </c>
      <c r="H431" s="22" t="s">
        <v>1945</v>
      </c>
    </row>
    <row r="432" spans="1:10" ht="16.5" customHeight="1">
      <c r="A432" s="42" t="str">
        <f t="shared" si="11"/>
        <v>C431</v>
      </c>
      <c r="C432" s="22" t="s">
        <v>403</v>
      </c>
      <c r="D432" s="42" t="s">
        <v>1946</v>
      </c>
      <c r="E432" s="42" t="s">
        <v>224</v>
      </c>
      <c r="F432" s="22" t="s">
        <v>1947</v>
      </c>
      <c r="G432" t="s">
        <v>1948</v>
      </c>
      <c r="H432" s="22" t="s">
        <v>1949</v>
      </c>
      <c r="I432" s="22" t="s">
        <v>18</v>
      </c>
      <c r="J432" s="42">
        <v>2</v>
      </c>
    </row>
    <row r="433" spans="1:15" ht="16.5" customHeight="1">
      <c r="A433" s="42" t="str">
        <f t="shared" si="11"/>
        <v>C432</v>
      </c>
      <c r="C433" s="22" t="s">
        <v>403</v>
      </c>
      <c r="D433" s="42" t="s">
        <v>1950</v>
      </c>
      <c r="E433" s="42" t="s">
        <v>462</v>
      </c>
      <c r="F433" s="22" t="s">
        <v>1951</v>
      </c>
      <c r="G433" t="s">
        <v>1952</v>
      </c>
      <c r="H433" s="22" t="s">
        <v>1953</v>
      </c>
      <c r="I433" s="22" t="s">
        <v>18</v>
      </c>
      <c r="J433" s="42">
        <v>2</v>
      </c>
    </row>
    <row r="434" spans="1:15" ht="16.5" customHeight="1">
      <c r="A434" s="42" t="str">
        <f t="shared" si="11"/>
        <v>C433</v>
      </c>
      <c r="B434" s="42" t="s">
        <v>1954</v>
      </c>
      <c r="C434" s="22" t="s">
        <v>1955</v>
      </c>
      <c r="D434" s="42" t="s">
        <v>1956</v>
      </c>
      <c r="E434" s="42" t="s">
        <v>224</v>
      </c>
      <c r="F434" s="22" t="s">
        <v>1957</v>
      </c>
      <c r="G434" t="s">
        <v>1958</v>
      </c>
      <c r="H434" s="22" t="s">
        <v>1959</v>
      </c>
    </row>
    <row r="435" spans="1:15" ht="16.5" customHeight="1">
      <c r="A435" s="42" t="str">
        <f t="shared" si="11"/>
        <v>C434</v>
      </c>
      <c r="B435" s="42" t="s">
        <v>1954</v>
      </c>
      <c r="C435" s="22" t="s">
        <v>1960</v>
      </c>
      <c r="D435" s="42" t="s">
        <v>1961</v>
      </c>
      <c r="E435" s="42" t="s">
        <v>1962</v>
      </c>
      <c r="F435" s="22" t="s">
        <v>1963</v>
      </c>
      <c r="G435" t="s">
        <v>1964</v>
      </c>
      <c r="H435" s="22" t="s">
        <v>1965</v>
      </c>
    </row>
    <row r="436" spans="1:15" ht="16.5" customHeight="1">
      <c r="A436" s="42" t="str">
        <f t="shared" si="11"/>
        <v>C435</v>
      </c>
      <c r="B436" s="42" t="s">
        <v>1954</v>
      </c>
      <c r="C436" s="22" t="s">
        <v>1966</v>
      </c>
      <c r="D436" s="42" t="s">
        <v>1967</v>
      </c>
      <c r="E436" s="42" t="s">
        <v>1962</v>
      </c>
      <c r="G436" t="s">
        <v>1968</v>
      </c>
      <c r="H436" s="22" t="s">
        <v>1969</v>
      </c>
    </row>
    <row r="437" spans="1:15" ht="16.5" customHeight="1">
      <c r="A437" s="42" t="str">
        <f t="shared" si="11"/>
        <v>C436</v>
      </c>
      <c r="B437" s="42" t="s">
        <v>1970</v>
      </c>
      <c r="C437" s="22" t="s">
        <v>1815</v>
      </c>
      <c r="D437" s="42" t="s">
        <v>1971</v>
      </c>
      <c r="E437" s="42" t="s">
        <v>1443</v>
      </c>
      <c r="F437" s="22" t="s">
        <v>1972</v>
      </c>
      <c r="G437" t="s">
        <v>1973</v>
      </c>
      <c r="H437" s="22" t="s">
        <v>1974</v>
      </c>
    </row>
    <row r="438" spans="1:15" ht="16.5" customHeight="1">
      <c r="A438" s="42" t="str">
        <f t="shared" si="11"/>
        <v>C437</v>
      </c>
      <c r="C438" s="22" t="s">
        <v>1942</v>
      </c>
      <c r="D438" s="42" t="s">
        <v>1975</v>
      </c>
      <c r="E438" s="42" t="s">
        <v>579</v>
      </c>
      <c r="F438" s="22" t="s">
        <v>1976</v>
      </c>
      <c r="G438" t="s">
        <v>1977</v>
      </c>
      <c r="H438" s="22" t="s">
        <v>1978</v>
      </c>
      <c r="I438" s="22" t="s">
        <v>18</v>
      </c>
      <c r="J438" s="42">
        <v>4</v>
      </c>
    </row>
    <row r="439" spans="1:15" ht="16.5" customHeight="1">
      <c r="A439" s="42" t="str">
        <f t="shared" si="11"/>
        <v>C438</v>
      </c>
      <c r="C439" s="22" t="s">
        <v>1979</v>
      </c>
      <c r="D439" s="42" t="s">
        <v>1980</v>
      </c>
      <c r="E439" s="42" t="s">
        <v>1981</v>
      </c>
      <c r="F439" s="22" t="s">
        <v>1982</v>
      </c>
      <c r="G439" t="s">
        <v>1983</v>
      </c>
      <c r="H439" s="22" t="s">
        <v>1984</v>
      </c>
      <c r="I439" s="22" t="s">
        <v>18</v>
      </c>
      <c r="J439" s="42">
        <v>1</v>
      </c>
    </row>
    <row r="440" spans="1:15" ht="16.5" customHeight="1">
      <c r="A440" s="42" t="str">
        <f t="shared" si="11"/>
        <v>C439</v>
      </c>
      <c r="C440" s="22" t="s">
        <v>1979</v>
      </c>
      <c r="D440" s="42" t="s">
        <v>1985</v>
      </c>
      <c r="E440" s="42" t="s">
        <v>1962</v>
      </c>
      <c r="F440" s="22" t="s">
        <v>1986</v>
      </c>
      <c r="H440" s="22" t="s">
        <v>1987</v>
      </c>
      <c r="I440" s="22" t="s">
        <v>18</v>
      </c>
      <c r="J440" s="42">
        <v>1</v>
      </c>
    </row>
    <row r="441" spans="1:15" ht="16.5" customHeight="1">
      <c r="A441" s="42" t="str">
        <f t="shared" si="11"/>
        <v>C440</v>
      </c>
      <c r="C441" s="22" t="s">
        <v>1979</v>
      </c>
      <c r="D441" s="42" t="s">
        <v>1988</v>
      </c>
      <c r="E441" s="42" t="s">
        <v>319</v>
      </c>
      <c r="F441" s="22" t="s">
        <v>1989</v>
      </c>
      <c r="G441" t="s">
        <v>1990</v>
      </c>
      <c r="H441" s="22" t="s">
        <v>1991</v>
      </c>
      <c r="I441" s="22" t="s">
        <v>18</v>
      </c>
      <c r="J441" s="42">
        <v>1</v>
      </c>
    </row>
    <row r="442" spans="1:15" ht="16.5" customHeight="1">
      <c r="A442" s="42" t="str">
        <f t="shared" si="11"/>
        <v>C441</v>
      </c>
      <c r="C442" s="22" t="s">
        <v>1992</v>
      </c>
      <c r="D442" s="42" t="s">
        <v>1993</v>
      </c>
      <c r="E442" s="42" t="s">
        <v>1994</v>
      </c>
      <c r="G442" t="s">
        <v>1995</v>
      </c>
      <c r="H442" s="22" t="s">
        <v>1996</v>
      </c>
      <c r="I442" s="22" t="s">
        <v>18</v>
      </c>
      <c r="J442" s="42">
        <v>3</v>
      </c>
    </row>
    <row r="443" spans="1:15" ht="16.5" customHeight="1">
      <c r="A443" s="42" t="str">
        <f t="shared" si="11"/>
        <v>C442</v>
      </c>
      <c r="C443" s="22" t="s">
        <v>1992</v>
      </c>
      <c r="D443" s="42" t="s">
        <v>1997</v>
      </c>
      <c r="E443" s="42" t="s">
        <v>842</v>
      </c>
      <c r="G443" t="s">
        <v>1998</v>
      </c>
      <c r="H443" s="22" t="s">
        <v>1999</v>
      </c>
      <c r="I443" s="22" t="s">
        <v>18</v>
      </c>
      <c r="J443" s="42">
        <v>1</v>
      </c>
    </row>
    <row r="444" spans="1:15" ht="16.5" customHeight="1">
      <c r="A444" s="42" t="str">
        <f t="shared" si="11"/>
        <v>C443</v>
      </c>
      <c r="C444" s="22" t="s">
        <v>1992</v>
      </c>
      <c r="D444" s="42" t="s">
        <v>2000</v>
      </c>
      <c r="E444" s="42" t="s">
        <v>2001</v>
      </c>
      <c r="F444" s="22" t="s">
        <v>2002</v>
      </c>
      <c r="G444" t="s">
        <v>2003</v>
      </c>
      <c r="H444" s="22" t="s">
        <v>2004</v>
      </c>
    </row>
    <row r="445" spans="1:15" ht="16.5" customHeight="1">
      <c r="A445" s="42" t="str">
        <f t="shared" si="11"/>
        <v>C444</v>
      </c>
      <c r="C445" s="22" t="s">
        <v>1992</v>
      </c>
      <c r="D445" s="42" t="s">
        <v>2005</v>
      </c>
      <c r="E445" s="42" t="s">
        <v>2006</v>
      </c>
      <c r="F445" s="22" t="s">
        <v>2007</v>
      </c>
      <c r="G445" t="s">
        <v>2008</v>
      </c>
      <c r="H445" s="22" t="s">
        <v>2009</v>
      </c>
      <c r="I445" s="22" t="s">
        <v>18</v>
      </c>
      <c r="J445" s="42">
        <v>3</v>
      </c>
      <c r="M445" t="s">
        <v>2010</v>
      </c>
      <c r="O445" s="20" t="s">
        <v>2011</v>
      </c>
    </row>
    <row r="446" spans="1:15" ht="16.5" customHeight="1">
      <c r="A446" s="42" t="str">
        <f t="shared" si="11"/>
        <v>C445</v>
      </c>
      <c r="C446" s="22" t="s">
        <v>1992</v>
      </c>
      <c r="D446" s="42" t="s">
        <v>2012</v>
      </c>
      <c r="E446" s="42" t="s">
        <v>1541</v>
      </c>
      <c r="F446" s="22" t="s">
        <v>2013</v>
      </c>
      <c r="G446" t="s">
        <v>2014</v>
      </c>
      <c r="H446" s="22" t="s">
        <v>2015</v>
      </c>
      <c r="I446" s="22" t="s">
        <v>18</v>
      </c>
      <c r="J446" s="42">
        <v>3</v>
      </c>
    </row>
    <row r="447" spans="1:15" ht="16.5" customHeight="1">
      <c r="A447" s="42" t="str">
        <f t="shared" si="11"/>
        <v>C446</v>
      </c>
      <c r="C447" s="22" t="s">
        <v>2016</v>
      </c>
      <c r="D447" s="42" t="s">
        <v>2017</v>
      </c>
      <c r="E447" s="42" t="s">
        <v>347</v>
      </c>
      <c r="F447" s="22" t="s">
        <v>2018</v>
      </c>
      <c r="G447" t="s">
        <v>2019</v>
      </c>
      <c r="H447" s="22" t="s">
        <v>2020</v>
      </c>
      <c r="I447" s="22" t="s">
        <v>18</v>
      </c>
      <c r="J447" s="42">
        <v>2</v>
      </c>
    </row>
    <row r="448" spans="1:15" ht="16.5" customHeight="1">
      <c r="A448" s="42" t="str">
        <f t="shared" si="11"/>
        <v>C447</v>
      </c>
      <c r="C448" s="22" t="s">
        <v>2016</v>
      </c>
      <c r="D448" s="42" t="s">
        <v>2021</v>
      </c>
      <c r="E448" s="42" t="s">
        <v>2022</v>
      </c>
      <c r="F448" s="22" t="s">
        <v>2023</v>
      </c>
      <c r="G448" t="s">
        <v>2024</v>
      </c>
      <c r="H448" s="22" t="s">
        <v>2025</v>
      </c>
      <c r="I448" s="22" t="s">
        <v>18</v>
      </c>
      <c r="J448" s="42">
        <v>2</v>
      </c>
    </row>
    <row r="449" spans="1:10" ht="16.5" customHeight="1">
      <c r="A449" s="42" t="str">
        <f t="shared" si="11"/>
        <v>C448</v>
      </c>
      <c r="C449" s="22" t="s">
        <v>2016</v>
      </c>
      <c r="D449" s="42" t="s">
        <v>2026</v>
      </c>
      <c r="E449" s="42" t="s">
        <v>1711</v>
      </c>
      <c r="F449" s="22" t="s">
        <v>2027</v>
      </c>
      <c r="G449" t="s">
        <v>2028</v>
      </c>
      <c r="H449" s="22" t="s">
        <v>2029</v>
      </c>
      <c r="I449" s="22" t="s">
        <v>18</v>
      </c>
      <c r="J449" s="42">
        <v>2</v>
      </c>
    </row>
    <row r="450" spans="1:10" ht="16.5" customHeight="1">
      <c r="A450" s="42" t="str">
        <f t="shared" si="11"/>
        <v>C449</v>
      </c>
      <c r="C450" s="22" t="s">
        <v>2016</v>
      </c>
      <c r="D450" s="42" t="s">
        <v>2030</v>
      </c>
      <c r="E450" s="42" t="s">
        <v>842</v>
      </c>
      <c r="F450" s="22" t="s">
        <v>2031</v>
      </c>
      <c r="H450" s="21" t="s">
        <v>2032</v>
      </c>
      <c r="I450" s="22" t="s">
        <v>18</v>
      </c>
      <c r="J450" s="42">
        <v>2</v>
      </c>
    </row>
    <row r="451" spans="1:10" ht="16.5" customHeight="1">
      <c r="A451" s="42" t="str">
        <f t="shared" si="11"/>
        <v>C450</v>
      </c>
      <c r="C451" s="22" t="s">
        <v>891</v>
      </c>
      <c r="D451" s="42" t="s">
        <v>2033</v>
      </c>
      <c r="E451" s="42" t="s">
        <v>2034</v>
      </c>
      <c r="F451" s="22" t="s">
        <v>904</v>
      </c>
      <c r="G451" t="s">
        <v>2035</v>
      </c>
      <c r="H451" s="22" t="s">
        <v>2036</v>
      </c>
      <c r="I451" s="22" t="s">
        <v>18</v>
      </c>
      <c r="J451" s="42">
        <v>3</v>
      </c>
    </row>
    <row r="452" spans="1:10" ht="16.5" customHeight="1">
      <c r="A452" s="42" t="str">
        <f t="shared" si="11"/>
        <v>C451</v>
      </c>
      <c r="C452" s="22" t="s">
        <v>891</v>
      </c>
      <c r="D452" s="42" t="s">
        <v>2037</v>
      </c>
      <c r="E452" s="42" t="s">
        <v>842</v>
      </c>
      <c r="F452" s="22" t="s">
        <v>2038</v>
      </c>
      <c r="G452" t="s">
        <v>2039</v>
      </c>
      <c r="H452" s="22" t="s">
        <v>2040</v>
      </c>
      <c r="I452" s="22" t="s">
        <v>18</v>
      </c>
      <c r="J452" s="42">
        <v>3</v>
      </c>
    </row>
    <row r="453" spans="1:10" ht="16.5" customHeight="1">
      <c r="A453" s="42" t="str">
        <f t="shared" si="11"/>
        <v>C452</v>
      </c>
      <c r="C453" s="22" t="s">
        <v>891</v>
      </c>
      <c r="D453" s="42" t="s">
        <v>2041</v>
      </c>
      <c r="E453" s="42" t="s">
        <v>410</v>
      </c>
      <c r="F453" s="22" t="s">
        <v>2042</v>
      </c>
      <c r="G453" t="s">
        <v>2043</v>
      </c>
      <c r="H453" s="22" t="s">
        <v>2044</v>
      </c>
      <c r="I453" s="22" t="s">
        <v>18</v>
      </c>
      <c r="J453" s="42">
        <v>3</v>
      </c>
    </row>
    <row r="454" spans="1:10" ht="16.5" customHeight="1">
      <c r="A454" s="42" t="str">
        <f t="shared" si="11"/>
        <v>C453</v>
      </c>
      <c r="C454" s="22" t="s">
        <v>891</v>
      </c>
      <c r="D454" s="42" t="s">
        <v>2045</v>
      </c>
      <c r="E454" s="42" t="s">
        <v>410</v>
      </c>
      <c r="F454" s="22" t="s">
        <v>2046</v>
      </c>
      <c r="G454" t="s">
        <v>2047</v>
      </c>
      <c r="H454" s="22" t="s">
        <v>2048</v>
      </c>
      <c r="I454" s="22" t="s">
        <v>18</v>
      </c>
      <c r="J454" s="42">
        <v>1</v>
      </c>
    </row>
    <row r="455" spans="1:10" ht="16.5" customHeight="1">
      <c r="A455" s="42" t="str">
        <f t="shared" si="11"/>
        <v>C454</v>
      </c>
      <c r="C455" s="22" t="s">
        <v>891</v>
      </c>
      <c r="D455" s="42" t="s">
        <v>2049</v>
      </c>
      <c r="E455" s="42" t="s">
        <v>1356</v>
      </c>
      <c r="F455" s="22" t="s">
        <v>2050</v>
      </c>
      <c r="G455" t="s">
        <v>2051</v>
      </c>
      <c r="H455" s="22" t="s">
        <v>2052</v>
      </c>
      <c r="I455" s="22" t="s">
        <v>18</v>
      </c>
      <c r="J455" s="42">
        <v>2</v>
      </c>
    </row>
    <row r="456" spans="1:10" ht="16.5" customHeight="1">
      <c r="A456" s="42" t="str">
        <f t="shared" si="11"/>
        <v>C455</v>
      </c>
      <c r="C456" s="22" t="s">
        <v>714</v>
      </c>
      <c r="D456" s="42" t="s">
        <v>2053</v>
      </c>
      <c r="E456" s="42" t="s">
        <v>224</v>
      </c>
      <c r="F456" s="22" t="s">
        <v>2054</v>
      </c>
      <c r="G456" t="s">
        <v>2055</v>
      </c>
      <c r="H456" s="22" t="s">
        <v>2056</v>
      </c>
      <c r="I456" s="22" t="s">
        <v>18</v>
      </c>
      <c r="J456" s="42">
        <v>2</v>
      </c>
    </row>
    <row r="457" spans="1:10" ht="16.5" customHeight="1">
      <c r="A457" s="42" t="str">
        <f t="shared" si="11"/>
        <v>C456</v>
      </c>
      <c r="C457" s="22" t="s">
        <v>714</v>
      </c>
      <c r="D457" s="42" t="s">
        <v>2057</v>
      </c>
      <c r="E457" s="42" t="s">
        <v>178</v>
      </c>
      <c r="F457" s="22" t="s">
        <v>2058</v>
      </c>
      <c r="G457" t="s">
        <v>2059</v>
      </c>
      <c r="H457" s="22" t="s">
        <v>2060</v>
      </c>
      <c r="I457" s="22" t="s">
        <v>18</v>
      </c>
      <c r="J457" s="42">
        <v>3</v>
      </c>
    </row>
    <row r="458" spans="1:10" ht="16.5" customHeight="1">
      <c r="A458" s="55" t="str">
        <f t="shared" si="11"/>
        <v>C457</v>
      </c>
      <c r="B458" s="55"/>
      <c r="C458" s="56" t="s">
        <v>714</v>
      </c>
      <c r="D458" s="55" t="s">
        <v>2061</v>
      </c>
      <c r="E458" s="55" t="s">
        <v>627</v>
      </c>
      <c r="F458" s="56" t="s">
        <v>2062</v>
      </c>
      <c r="G458" s="57" t="s">
        <v>2063</v>
      </c>
      <c r="H458" s="56" t="s">
        <v>2064</v>
      </c>
      <c r="I458" s="56" t="s">
        <v>18</v>
      </c>
      <c r="J458" s="42" t="s">
        <v>2065</v>
      </c>
    </row>
    <row r="459" spans="1:10" ht="16.5" customHeight="1">
      <c r="A459" s="42" t="str">
        <f t="shared" si="11"/>
        <v>C458</v>
      </c>
      <c r="C459" s="22" t="s">
        <v>714</v>
      </c>
      <c r="D459" s="42" t="s">
        <v>2066</v>
      </c>
      <c r="E459" s="42" t="s">
        <v>2067</v>
      </c>
      <c r="F459" s="22" t="s">
        <v>2068</v>
      </c>
      <c r="G459" t="s">
        <v>2069</v>
      </c>
      <c r="H459" s="22" t="s">
        <v>2070</v>
      </c>
      <c r="I459" s="22" t="s">
        <v>18</v>
      </c>
      <c r="J459" s="42">
        <v>2</v>
      </c>
    </row>
    <row r="460" spans="1:10" ht="16.5" customHeight="1">
      <c r="A460" s="42" t="str">
        <f t="shared" si="11"/>
        <v>C459</v>
      </c>
      <c r="C460" s="22" t="s">
        <v>714</v>
      </c>
      <c r="D460" s="42" t="s">
        <v>2071</v>
      </c>
      <c r="E460" s="42" t="s">
        <v>596</v>
      </c>
      <c r="F460" s="22" t="s">
        <v>2072</v>
      </c>
      <c r="G460" t="s">
        <v>2073</v>
      </c>
      <c r="I460" s="22" t="s">
        <v>18</v>
      </c>
      <c r="J460" s="42">
        <v>5</v>
      </c>
    </row>
    <row r="461" spans="1:10" ht="16.5" customHeight="1">
      <c r="A461" s="42" t="str">
        <f t="shared" si="11"/>
        <v>C460</v>
      </c>
      <c r="C461" s="22" t="s">
        <v>714</v>
      </c>
      <c r="D461" s="42" t="s">
        <v>2074</v>
      </c>
      <c r="E461" s="42" t="s">
        <v>62</v>
      </c>
      <c r="F461" s="22" t="s">
        <v>2075</v>
      </c>
      <c r="G461" t="s">
        <v>2076</v>
      </c>
      <c r="H461" s="22" t="s">
        <v>2077</v>
      </c>
      <c r="I461" s="22" t="s">
        <v>18</v>
      </c>
      <c r="J461" s="42">
        <v>5</v>
      </c>
    </row>
    <row r="462" spans="1:10" ht="16.5" customHeight="1">
      <c r="A462" s="42" t="str">
        <f t="shared" si="11"/>
        <v>C461</v>
      </c>
      <c r="C462" s="22" t="s">
        <v>714</v>
      </c>
      <c r="D462" s="42" t="s">
        <v>2078</v>
      </c>
      <c r="E462" s="42" t="s">
        <v>583</v>
      </c>
      <c r="F462" s="22" t="s">
        <v>2079</v>
      </c>
      <c r="H462" s="22" t="s">
        <v>2080</v>
      </c>
      <c r="I462" s="22" t="s">
        <v>18</v>
      </c>
      <c r="J462" s="42">
        <v>1</v>
      </c>
    </row>
    <row r="463" spans="1:10" ht="16.5" customHeight="1">
      <c r="A463" s="42" t="str">
        <f t="shared" si="11"/>
        <v>C462</v>
      </c>
      <c r="B463" s="42" t="s">
        <v>2081</v>
      </c>
      <c r="C463" s="22" t="s">
        <v>2082</v>
      </c>
      <c r="D463" s="42" t="s">
        <v>2083</v>
      </c>
      <c r="E463" s="42" t="s">
        <v>2084</v>
      </c>
      <c r="F463" s="22" t="s">
        <v>2085</v>
      </c>
      <c r="G463" t="s">
        <v>2086</v>
      </c>
      <c r="H463" s="22" t="s">
        <v>2087</v>
      </c>
    </row>
    <row r="464" spans="1:10" ht="16.5" customHeight="1">
      <c r="A464" s="42" t="str">
        <f t="shared" si="11"/>
        <v>C463</v>
      </c>
      <c r="B464" s="42" t="s">
        <v>2081</v>
      </c>
      <c r="C464" s="22" t="s">
        <v>471</v>
      </c>
      <c r="D464" s="42" t="s">
        <v>1396</v>
      </c>
      <c r="E464" s="42" t="s">
        <v>1397</v>
      </c>
      <c r="F464" s="22" t="s">
        <v>2088</v>
      </c>
      <c r="H464" s="22" t="s">
        <v>2089</v>
      </c>
    </row>
    <row r="465" spans="1:8" ht="16.5" customHeight="1">
      <c r="A465" s="42" t="str">
        <f t="shared" si="11"/>
        <v>C464</v>
      </c>
      <c r="B465" s="42" t="s">
        <v>2090</v>
      </c>
      <c r="C465" s="22" t="s">
        <v>2091</v>
      </c>
      <c r="D465" s="42" t="s">
        <v>2092</v>
      </c>
      <c r="E465" s="42" t="s">
        <v>37</v>
      </c>
      <c r="H465" s="22" t="s">
        <v>2093</v>
      </c>
    </row>
    <row r="466" spans="1:8" ht="16.5" customHeight="1">
      <c r="A466" s="42" t="str">
        <f t="shared" si="11"/>
        <v>C465</v>
      </c>
      <c r="B466" s="42" t="s">
        <v>2094</v>
      </c>
      <c r="C466" s="22" t="s">
        <v>2095</v>
      </c>
      <c r="D466" s="42" t="s">
        <v>2096</v>
      </c>
      <c r="E466" s="42" t="s">
        <v>2097</v>
      </c>
      <c r="H466" s="22" t="s">
        <v>2098</v>
      </c>
    </row>
    <row r="467" spans="1:8" ht="16.5" customHeight="1">
      <c r="A467" s="42" t="str">
        <f t="shared" si="11"/>
        <v>C466</v>
      </c>
      <c r="B467" s="42" t="s">
        <v>2099</v>
      </c>
      <c r="C467" s="22" t="s">
        <v>605</v>
      </c>
      <c r="D467" s="42" t="s">
        <v>2100</v>
      </c>
      <c r="E467" s="42" t="s">
        <v>2101</v>
      </c>
      <c r="G467" t="s">
        <v>2102</v>
      </c>
      <c r="H467" s="22" t="s">
        <v>2103</v>
      </c>
    </row>
    <row r="468" spans="1:8" ht="16.5" customHeight="1">
      <c r="A468" s="42" t="str">
        <f t="shared" si="11"/>
        <v>C467</v>
      </c>
      <c r="B468" s="42" t="s">
        <v>2099</v>
      </c>
      <c r="C468" s="22" t="s">
        <v>2104</v>
      </c>
      <c r="D468" s="42" t="s">
        <v>2105</v>
      </c>
      <c r="E468" s="42" t="s">
        <v>347</v>
      </c>
      <c r="F468" s="22" t="s">
        <v>2106</v>
      </c>
      <c r="G468" t="s">
        <v>2107</v>
      </c>
      <c r="H468" s="22" t="s">
        <v>2108</v>
      </c>
    </row>
    <row r="469" spans="1:8" ht="16.5" customHeight="1">
      <c r="A469" s="42" t="str">
        <f t="shared" si="11"/>
        <v>C468</v>
      </c>
      <c r="B469" s="42" t="s">
        <v>2109</v>
      </c>
      <c r="C469" s="22" t="s">
        <v>2110</v>
      </c>
      <c r="D469" s="42" t="s">
        <v>2111</v>
      </c>
      <c r="E469" s="42" t="s">
        <v>2112</v>
      </c>
      <c r="F469" s="22" t="s">
        <v>2113</v>
      </c>
      <c r="G469" t="s">
        <v>2114</v>
      </c>
      <c r="H469" s="22" t="s">
        <v>2115</v>
      </c>
    </row>
    <row r="470" spans="1:8" ht="16.5" customHeight="1">
      <c r="A470" s="42" t="str">
        <f t="shared" si="11"/>
        <v>C469</v>
      </c>
      <c r="B470" s="42" t="s">
        <v>2116</v>
      </c>
      <c r="C470" s="22" t="s">
        <v>891</v>
      </c>
      <c r="D470" s="42" t="s">
        <v>2117</v>
      </c>
      <c r="E470" s="42" t="s">
        <v>2118</v>
      </c>
      <c r="H470" s="22" t="s">
        <v>2119</v>
      </c>
    </row>
    <row r="471" spans="1:8" ht="16.5" customHeight="1">
      <c r="A471" s="42" t="str">
        <f t="shared" si="11"/>
        <v>C470</v>
      </c>
      <c r="B471" s="42" t="s">
        <v>2116</v>
      </c>
      <c r="C471" s="22" t="s">
        <v>2120</v>
      </c>
      <c r="D471" s="42" t="s">
        <v>2121</v>
      </c>
      <c r="E471" s="42" t="s">
        <v>2122</v>
      </c>
      <c r="H471" s="22" t="s">
        <v>2123</v>
      </c>
    </row>
    <row r="472" spans="1:8" ht="16.5" customHeight="1">
      <c r="A472" s="42" t="str">
        <f t="shared" si="11"/>
        <v>C471</v>
      </c>
      <c r="B472" s="42" t="s">
        <v>2116</v>
      </c>
      <c r="C472" s="22" t="s">
        <v>2124</v>
      </c>
      <c r="D472" s="42" t="s">
        <v>2125</v>
      </c>
      <c r="E472" s="42" t="s">
        <v>2126</v>
      </c>
      <c r="F472" s="22" t="s">
        <v>2127</v>
      </c>
      <c r="H472" s="22" t="s">
        <v>2128</v>
      </c>
    </row>
    <row r="473" spans="1:8" ht="16.5" customHeight="1">
      <c r="A473" s="42" t="str">
        <f t="shared" si="11"/>
        <v>C472</v>
      </c>
      <c r="B473" s="42" t="s">
        <v>2116</v>
      </c>
      <c r="C473" s="22" t="s">
        <v>2129</v>
      </c>
      <c r="D473" s="42" t="s">
        <v>2130</v>
      </c>
      <c r="E473" s="42" t="s">
        <v>2131</v>
      </c>
      <c r="G473" t="s">
        <v>2132</v>
      </c>
      <c r="H473" s="22" t="s">
        <v>2133</v>
      </c>
    </row>
    <row r="474" spans="1:8" ht="16.5" customHeight="1">
      <c r="A474" s="42" t="str">
        <f t="shared" ref="A474:A537" si="12">_xlfn.CONCAT("C",TEXT(ROW()-1,"000"))</f>
        <v>C473</v>
      </c>
      <c r="B474" s="42" t="s">
        <v>2134</v>
      </c>
      <c r="C474" s="22" t="s">
        <v>2135</v>
      </c>
      <c r="D474" s="42" t="s">
        <v>2136</v>
      </c>
      <c r="E474" s="42" t="s">
        <v>2137</v>
      </c>
      <c r="F474" s="22" t="s">
        <v>2138</v>
      </c>
      <c r="H474" s="22" t="s">
        <v>2139</v>
      </c>
    </row>
    <row r="475" spans="1:8" ht="16.5" customHeight="1">
      <c r="A475" s="42" t="str">
        <f t="shared" si="12"/>
        <v>C474</v>
      </c>
      <c r="B475" s="42" t="s">
        <v>2134</v>
      </c>
      <c r="C475" s="22" t="s">
        <v>2140</v>
      </c>
      <c r="D475" s="42" t="s">
        <v>2141</v>
      </c>
      <c r="E475" s="42" t="s">
        <v>2142</v>
      </c>
      <c r="F475" s="22" t="s">
        <v>2143</v>
      </c>
      <c r="H475" s="22" t="s">
        <v>2144</v>
      </c>
    </row>
    <row r="476" spans="1:8" ht="16.5" customHeight="1">
      <c r="A476" s="42" t="str">
        <f t="shared" si="12"/>
        <v>C475</v>
      </c>
      <c r="B476" s="42" t="s">
        <v>2134</v>
      </c>
      <c r="C476" s="22" t="s">
        <v>2145</v>
      </c>
      <c r="D476" s="42" t="s">
        <v>2146</v>
      </c>
      <c r="E476" s="42" t="s">
        <v>1994</v>
      </c>
      <c r="F476" s="22" t="s">
        <v>2147</v>
      </c>
      <c r="H476" s="22" t="s">
        <v>2148</v>
      </c>
    </row>
    <row r="477" spans="1:8" ht="16.5" customHeight="1">
      <c r="A477" s="42" t="str">
        <f t="shared" si="12"/>
        <v>C476</v>
      </c>
      <c r="B477" s="42" t="s">
        <v>2149</v>
      </c>
      <c r="C477" s="22" t="s">
        <v>632</v>
      </c>
      <c r="D477" s="42" t="s">
        <v>2150</v>
      </c>
      <c r="E477" s="42" t="s">
        <v>2151</v>
      </c>
      <c r="G477" t="s">
        <v>2152</v>
      </c>
      <c r="H477" s="22" t="s">
        <v>2153</v>
      </c>
    </row>
    <row r="478" spans="1:8" ht="16.5" customHeight="1">
      <c r="A478" s="42" t="str">
        <f t="shared" si="12"/>
        <v>C477</v>
      </c>
      <c r="B478" s="42" t="s">
        <v>2154</v>
      </c>
      <c r="C478" s="22" t="s">
        <v>2155</v>
      </c>
      <c r="D478" s="42" t="s">
        <v>2156</v>
      </c>
      <c r="E478" s="42" t="s">
        <v>2157</v>
      </c>
      <c r="H478" s="22" t="s">
        <v>2158</v>
      </c>
    </row>
    <row r="479" spans="1:8" ht="16.5" customHeight="1">
      <c r="A479" s="42" t="str">
        <f t="shared" si="12"/>
        <v>C478</v>
      </c>
      <c r="B479" s="42" t="s">
        <v>2159</v>
      </c>
      <c r="C479" s="22" t="s">
        <v>2160</v>
      </c>
      <c r="D479" s="42" t="s">
        <v>2161</v>
      </c>
      <c r="E479" s="42" t="s">
        <v>178</v>
      </c>
      <c r="F479" s="22" t="s">
        <v>2162</v>
      </c>
      <c r="G479" t="s">
        <v>2163</v>
      </c>
      <c r="H479" s="22" t="s">
        <v>2164</v>
      </c>
    </row>
    <row r="480" spans="1:8" ht="16.5" customHeight="1">
      <c r="A480" s="42" t="str">
        <f t="shared" si="12"/>
        <v>C479</v>
      </c>
      <c r="B480" s="42" t="s">
        <v>2165</v>
      </c>
      <c r="C480" s="22" t="s">
        <v>2166</v>
      </c>
      <c r="D480" s="42" t="s">
        <v>2167</v>
      </c>
      <c r="E480" s="42" t="s">
        <v>2168</v>
      </c>
      <c r="H480" s="22" t="s">
        <v>2169</v>
      </c>
    </row>
    <row r="481" spans="1:9" ht="16.5" customHeight="1">
      <c r="A481" s="42" t="str">
        <f t="shared" si="12"/>
        <v>C480</v>
      </c>
      <c r="B481" s="42" t="s">
        <v>2170</v>
      </c>
      <c r="C481" s="22" t="s">
        <v>2171</v>
      </c>
      <c r="D481" s="42" t="s">
        <v>2172</v>
      </c>
      <c r="E481" s="42" t="s">
        <v>438</v>
      </c>
      <c r="F481" s="22" t="s">
        <v>2173</v>
      </c>
      <c r="H481" s="22" t="s">
        <v>2174</v>
      </c>
    </row>
    <row r="482" spans="1:9" ht="16.5" customHeight="1">
      <c r="A482" s="42" t="str">
        <f t="shared" si="12"/>
        <v>C481</v>
      </c>
      <c r="B482" s="42" t="s">
        <v>2170</v>
      </c>
      <c r="C482" s="22" t="s">
        <v>2175</v>
      </c>
      <c r="D482" s="42" t="s">
        <v>2176</v>
      </c>
      <c r="E482" s="42" t="s">
        <v>126</v>
      </c>
      <c r="F482" s="22" t="s">
        <v>2177</v>
      </c>
      <c r="G482" t="s">
        <v>2178</v>
      </c>
      <c r="H482" s="22" t="s">
        <v>2179</v>
      </c>
    </row>
    <row r="483" spans="1:9" ht="16.5" customHeight="1">
      <c r="A483" s="42" t="str">
        <f t="shared" si="12"/>
        <v>C482</v>
      </c>
      <c r="B483" s="42" t="s">
        <v>2180</v>
      </c>
      <c r="C483" s="22" t="s">
        <v>206</v>
      </c>
      <c r="D483" s="42" t="s">
        <v>2181</v>
      </c>
      <c r="E483" s="42" t="s">
        <v>2182</v>
      </c>
      <c r="H483" s="22" t="s">
        <v>2183</v>
      </c>
    </row>
    <row r="484" spans="1:9" ht="16.5" customHeight="1">
      <c r="A484" s="42" t="str">
        <f t="shared" si="12"/>
        <v>C483</v>
      </c>
      <c r="B484" s="42" t="s">
        <v>2184</v>
      </c>
      <c r="C484" s="22" t="s">
        <v>2185</v>
      </c>
      <c r="D484" s="42" t="s">
        <v>2186</v>
      </c>
      <c r="E484" s="42" t="s">
        <v>2187</v>
      </c>
      <c r="F484" s="22" t="s">
        <v>2188</v>
      </c>
      <c r="H484" s="22" t="s">
        <v>2189</v>
      </c>
    </row>
    <row r="485" spans="1:9" ht="16.5" customHeight="1">
      <c r="A485" s="42" t="str">
        <f t="shared" si="12"/>
        <v>C484</v>
      </c>
      <c r="B485" s="42" t="s">
        <v>2190</v>
      </c>
      <c r="C485" s="22" t="s">
        <v>2129</v>
      </c>
      <c r="D485" s="42" t="s">
        <v>2191</v>
      </c>
      <c r="E485" s="42" t="s">
        <v>456</v>
      </c>
      <c r="H485" s="22" t="s">
        <v>2192</v>
      </c>
    </row>
    <row r="486" spans="1:9" ht="16.5" customHeight="1">
      <c r="A486" s="42" t="str">
        <f t="shared" si="12"/>
        <v>C485</v>
      </c>
      <c r="B486" s="42" t="s">
        <v>2190</v>
      </c>
      <c r="C486" s="22" t="s">
        <v>2193</v>
      </c>
      <c r="D486" s="42" t="s">
        <v>2194</v>
      </c>
      <c r="E486" s="42" t="s">
        <v>62</v>
      </c>
      <c r="F486" s="22" t="s">
        <v>2195</v>
      </c>
      <c r="H486" s="22" t="s">
        <v>2196</v>
      </c>
    </row>
    <row r="487" spans="1:9" ht="16.5" customHeight="1">
      <c r="A487" s="42" t="str">
        <f t="shared" si="12"/>
        <v>C486</v>
      </c>
      <c r="B487" s="42" t="s">
        <v>2197</v>
      </c>
      <c r="C487" s="22" t="s">
        <v>1933</v>
      </c>
      <c r="D487" s="42" t="s">
        <v>2198</v>
      </c>
      <c r="E487" s="42" t="s">
        <v>347</v>
      </c>
      <c r="H487" s="22" t="s">
        <v>2199</v>
      </c>
    </row>
    <row r="488" spans="1:9" ht="16.5" customHeight="1">
      <c r="A488" s="42" t="str">
        <f t="shared" si="12"/>
        <v>C487</v>
      </c>
      <c r="B488" s="42" t="s">
        <v>2200</v>
      </c>
      <c r="C488" s="22" t="s">
        <v>2201</v>
      </c>
      <c r="D488" s="42" t="s">
        <v>2202</v>
      </c>
      <c r="E488" s="42" t="s">
        <v>2203</v>
      </c>
      <c r="H488" s="22" t="s">
        <v>2204</v>
      </c>
    </row>
    <row r="489" spans="1:9" ht="16.5" customHeight="1">
      <c r="A489" s="42" t="str">
        <f t="shared" si="12"/>
        <v>C488</v>
      </c>
      <c r="B489" s="42" t="s">
        <v>2200</v>
      </c>
      <c r="C489" s="22" t="s">
        <v>586</v>
      </c>
      <c r="D489" s="42" t="s">
        <v>2205</v>
      </c>
      <c r="E489" s="42" t="s">
        <v>2206</v>
      </c>
      <c r="H489" s="22" t="s">
        <v>2207</v>
      </c>
    </row>
    <row r="490" spans="1:9" ht="36" customHeight="1">
      <c r="A490" s="42" t="str">
        <f t="shared" si="12"/>
        <v>C489</v>
      </c>
      <c r="B490" s="42" t="s">
        <v>2200</v>
      </c>
      <c r="C490" s="22" t="s">
        <v>2208</v>
      </c>
      <c r="D490" s="42" t="s">
        <v>2209</v>
      </c>
      <c r="E490" s="42" t="s">
        <v>796</v>
      </c>
      <c r="G490" t="s">
        <v>2210</v>
      </c>
      <c r="H490" s="22" t="s">
        <v>2211</v>
      </c>
      <c r="I490" s="22" t="s">
        <v>18</v>
      </c>
    </row>
    <row r="491" spans="1:9" ht="16.5" customHeight="1">
      <c r="A491" s="42" t="str">
        <f t="shared" si="12"/>
        <v>C490</v>
      </c>
      <c r="B491" s="42" t="s">
        <v>2212</v>
      </c>
      <c r="C491" s="22" t="s">
        <v>1815</v>
      </c>
      <c r="D491" s="42" t="s">
        <v>2213</v>
      </c>
      <c r="E491" s="42" t="s">
        <v>2214</v>
      </c>
      <c r="F491" s="22" t="s">
        <v>2215</v>
      </c>
      <c r="H491" s="22" t="s">
        <v>2216</v>
      </c>
    </row>
    <row r="492" spans="1:9" ht="16.5" customHeight="1">
      <c r="A492" s="42" t="str">
        <f t="shared" si="12"/>
        <v>C491</v>
      </c>
      <c r="B492" s="42" t="s">
        <v>2217</v>
      </c>
      <c r="C492" s="22" t="s">
        <v>2218</v>
      </c>
      <c r="D492" s="42" t="s">
        <v>2219</v>
      </c>
      <c r="E492" s="42" t="s">
        <v>2220</v>
      </c>
      <c r="F492" s="22" t="s">
        <v>2221</v>
      </c>
      <c r="H492" s="22" t="s">
        <v>2222</v>
      </c>
    </row>
    <row r="493" spans="1:9" ht="16.5" customHeight="1">
      <c r="A493" s="42" t="str">
        <f t="shared" si="12"/>
        <v>C492</v>
      </c>
      <c r="B493" s="42" t="s">
        <v>2223</v>
      </c>
      <c r="C493" s="22" t="s">
        <v>2224</v>
      </c>
      <c r="D493" s="42" t="s">
        <v>2225</v>
      </c>
      <c r="E493" s="42" t="s">
        <v>2226</v>
      </c>
      <c r="F493" s="22" t="s">
        <v>2227</v>
      </c>
      <c r="H493" s="22" t="s">
        <v>2228</v>
      </c>
    </row>
    <row r="494" spans="1:9" ht="16.5" customHeight="1">
      <c r="A494" s="42" t="str">
        <f t="shared" si="12"/>
        <v>C493</v>
      </c>
      <c r="B494" s="42" t="s">
        <v>2223</v>
      </c>
      <c r="C494" s="22" t="s">
        <v>2229</v>
      </c>
      <c r="D494" s="42" t="s">
        <v>2230</v>
      </c>
      <c r="E494" s="42" t="s">
        <v>1590</v>
      </c>
      <c r="H494" s="22" t="s">
        <v>2231</v>
      </c>
    </row>
    <row r="495" spans="1:9" ht="16.5" customHeight="1">
      <c r="A495" s="42" t="str">
        <f t="shared" si="12"/>
        <v>C494</v>
      </c>
      <c r="B495" s="42" t="s">
        <v>2223</v>
      </c>
      <c r="C495" s="22" t="s">
        <v>2232</v>
      </c>
      <c r="D495" s="42" t="s">
        <v>2233</v>
      </c>
      <c r="E495" s="42" t="s">
        <v>1021</v>
      </c>
      <c r="H495" s="22" t="s">
        <v>2234</v>
      </c>
    </row>
    <row r="496" spans="1:9" ht="16.5" customHeight="1">
      <c r="A496" s="42" t="str">
        <f t="shared" si="12"/>
        <v>C495</v>
      </c>
      <c r="B496" s="42" t="s">
        <v>2235</v>
      </c>
      <c r="C496" s="22" t="s">
        <v>2236</v>
      </c>
      <c r="D496" s="42" t="s">
        <v>2237</v>
      </c>
      <c r="E496" s="42" t="s">
        <v>229</v>
      </c>
      <c r="F496" s="22" t="s">
        <v>2238</v>
      </c>
      <c r="H496" s="22" t="s">
        <v>2239</v>
      </c>
    </row>
    <row r="497" spans="1:11" ht="16.5" customHeight="1">
      <c r="A497" s="42" t="str">
        <f t="shared" si="12"/>
        <v>C496</v>
      </c>
      <c r="B497" s="42" t="s">
        <v>2235</v>
      </c>
      <c r="C497" s="22" t="s">
        <v>2240</v>
      </c>
      <c r="D497" s="42" t="s">
        <v>2241</v>
      </c>
      <c r="E497" s="42" t="s">
        <v>2242</v>
      </c>
      <c r="H497" s="22" t="s">
        <v>2243</v>
      </c>
    </row>
    <row r="498" spans="1:11" ht="16.5" customHeight="1">
      <c r="A498" s="42" t="str">
        <f t="shared" si="12"/>
        <v>C497</v>
      </c>
      <c r="B498" s="42" t="s">
        <v>2244</v>
      </c>
      <c r="C498" s="22" t="s">
        <v>1933</v>
      </c>
      <c r="D498" s="42" t="s">
        <v>2245</v>
      </c>
      <c r="E498" s="42" t="s">
        <v>2246</v>
      </c>
      <c r="F498" s="22" t="s">
        <v>2247</v>
      </c>
      <c r="H498" s="22" t="s">
        <v>2248</v>
      </c>
    </row>
    <row r="499" spans="1:11" ht="16.5" customHeight="1">
      <c r="A499" s="42" t="str">
        <f t="shared" si="12"/>
        <v>C498</v>
      </c>
      <c r="B499" s="42" t="s">
        <v>2244</v>
      </c>
      <c r="C499" s="22" t="s">
        <v>2249</v>
      </c>
      <c r="D499" s="42" t="s">
        <v>2250</v>
      </c>
      <c r="E499" s="42" t="s">
        <v>126</v>
      </c>
      <c r="F499" s="22" t="s">
        <v>2251</v>
      </c>
      <c r="H499" s="22" t="s">
        <v>2252</v>
      </c>
    </row>
    <row r="500" spans="1:11" ht="16.5" customHeight="1">
      <c r="A500" s="42" t="str">
        <f t="shared" si="12"/>
        <v>C499</v>
      </c>
      <c r="B500" s="42" t="s">
        <v>2253</v>
      </c>
      <c r="C500" s="22" t="s">
        <v>2254</v>
      </c>
      <c r="D500" s="42" t="s">
        <v>2255</v>
      </c>
      <c r="E500" s="42" t="s">
        <v>324</v>
      </c>
      <c r="F500" s="22" t="s">
        <v>2256</v>
      </c>
    </row>
    <row r="501" spans="1:11" ht="16.5" customHeight="1">
      <c r="A501" s="42" t="str">
        <f t="shared" si="12"/>
        <v>C500</v>
      </c>
      <c r="B501" s="42" t="s">
        <v>2253</v>
      </c>
      <c r="C501" s="22" t="s">
        <v>431</v>
      </c>
      <c r="D501" s="42" t="s">
        <v>2257</v>
      </c>
      <c r="E501" s="42" t="s">
        <v>62</v>
      </c>
      <c r="F501" s="22" t="s">
        <v>2258</v>
      </c>
      <c r="G501" t="s">
        <v>2259</v>
      </c>
      <c r="H501" s="22" t="s">
        <v>2260</v>
      </c>
    </row>
    <row r="502" spans="1:11" ht="73.5" customHeight="1">
      <c r="A502" s="42" t="str">
        <f t="shared" si="12"/>
        <v>C501</v>
      </c>
      <c r="B502" s="42" t="s">
        <v>2244</v>
      </c>
      <c r="C502" s="22" t="s">
        <v>2261</v>
      </c>
      <c r="D502" s="42" t="s">
        <v>2262</v>
      </c>
      <c r="E502" s="42" t="s">
        <v>324</v>
      </c>
      <c r="F502" s="22" t="s">
        <v>2263</v>
      </c>
      <c r="G502" t="s">
        <v>2264</v>
      </c>
      <c r="H502" s="21" t="s">
        <v>2265</v>
      </c>
      <c r="I502" s="22" t="s">
        <v>18</v>
      </c>
    </row>
    <row r="503" spans="1:11" ht="16.5" customHeight="1">
      <c r="A503" s="42" t="str">
        <f t="shared" si="12"/>
        <v>C502</v>
      </c>
      <c r="B503" s="42" t="s">
        <v>2266</v>
      </c>
      <c r="C503" s="22" t="s">
        <v>2267</v>
      </c>
      <c r="D503" s="42" t="s">
        <v>2268</v>
      </c>
      <c r="E503" s="42" t="s">
        <v>2269</v>
      </c>
      <c r="F503" s="22" t="s">
        <v>2270</v>
      </c>
      <c r="G503" t="s">
        <v>2271</v>
      </c>
      <c r="H503" s="22" t="s">
        <v>2272</v>
      </c>
    </row>
    <row r="504" spans="1:11" ht="55.5" customHeight="1">
      <c r="A504" s="42" t="str">
        <f t="shared" si="12"/>
        <v>C503</v>
      </c>
      <c r="B504" s="42" t="s">
        <v>2266</v>
      </c>
      <c r="C504" s="22" t="s">
        <v>1224</v>
      </c>
      <c r="D504" s="42" t="s">
        <v>2273</v>
      </c>
      <c r="E504" s="42" t="s">
        <v>2274</v>
      </c>
      <c r="F504" s="22" t="s">
        <v>2275</v>
      </c>
      <c r="H504" s="22" t="s">
        <v>2276</v>
      </c>
      <c r="I504" s="22" t="s">
        <v>18</v>
      </c>
      <c r="K504" s="42" t="s">
        <v>60</v>
      </c>
    </row>
    <row r="505" spans="1:11" ht="16.5" customHeight="1">
      <c r="A505" s="42" t="str">
        <f t="shared" si="12"/>
        <v>C504</v>
      </c>
      <c r="B505" s="42" t="s">
        <v>2266</v>
      </c>
      <c r="C505" s="22" t="s">
        <v>2277</v>
      </c>
      <c r="D505" s="42" t="s">
        <v>2278</v>
      </c>
      <c r="E505" s="42" t="s">
        <v>2279</v>
      </c>
      <c r="F505" s="22" t="s">
        <v>2280</v>
      </c>
      <c r="H505" s="22" t="s">
        <v>2281</v>
      </c>
    </row>
    <row r="506" spans="1:11" ht="16.5" customHeight="1">
      <c r="A506" s="42" t="str">
        <f t="shared" si="12"/>
        <v>C505</v>
      </c>
      <c r="B506" s="42" t="s">
        <v>2266</v>
      </c>
      <c r="C506" s="22" t="s">
        <v>2282</v>
      </c>
      <c r="D506" s="42" t="s">
        <v>2283</v>
      </c>
      <c r="E506" s="42" t="s">
        <v>1024</v>
      </c>
      <c r="F506" s="22" t="s">
        <v>2284</v>
      </c>
      <c r="G506" t="s">
        <v>2285</v>
      </c>
      <c r="H506" s="22" t="s">
        <v>2286</v>
      </c>
    </row>
    <row r="507" spans="1:11" ht="16.5" customHeight="1">
      <c r="A507" s="42" t="str">
        <f t="shared" si="12"/>
        <v>C506</v>
      </c>
      <c r="B507" s="42" t="s">
        <v>2287</v>
      </c>
      <c r="C507" s="22" t="s">
        <v>2288</v>
      </c>
      <c r="D507" s="42" t="s">
        <v>2289</v>
      </c>
      <c r="E507" s="42" t="s">
        <v>2290</v>
      </c>
      <c r="F507" s="22" t="s">
        <v>2291</v>
      </c>
      <c r="H507" s="22" t="s">
        <v>2292</v>
      </c>
    </row>
    <row r="508" spans="1:11" ht="16.5" customHeight="1">
      <c r="A508" s="42" t="str">
        <f t="shared" si="12"/>
        <v>C507</v>
      </c>
      <c r="B508" s="42" t="s">
        <v>2293</v>
      </c>
      <c r="C508" s="22" t="s">
        <v>2193</v>
      </c>
      <c r="D508" s="42" t="s">
        <v>2294</v>
      </c>
      <c r="E508" s="42" t="s">
        <v>2295</v>
      </c>
      <c r="F508" s="22" t="s">
        <v>2296</v>
      </c>
      <c r="H508" s="22" t="s">
        <v>2297</v>
      </c>
    </row>
    <row r="509" spans="1:11" ht="16.5" customHeight="1">
      <c r="A509" s="42" t="str">
        <f t="shared" si="12"/>
        <v>C508</v>
      </c>
      <c r="B509" s="42" t="s">
        <v>2293</v>
      </c>
      <c r="C509" s="22" t="s">
        <v>1160</v>
      </c>
      <c r="D509" s="42" t="s">
        <v>2298</v>
      </c>
      <c r="E509" s="42" t="s">
        <v>2299</v>
      </c>
      <c r="F509" s="22" t="s">
        <v>2300</v>
      </c>
      <c r="G509" t="s">
        <v>2301</v>
      </c>
      <c r="H509" s="22" t="s">
        <v>2302</v>
      </c>
    </row>
    <row r="510" spans="1:11" ht="16.5" customHeight="1">
      <c r="A510" s="42" t="str">
        <f t="shared" si="12"/>
        <v>C509</v>
      </c>
      <c r="B510" s="42" t="s">
        <v>2293</v>
      </c>
      <c r="C510" s="22" t="s">
        <v>297</v>
      </c>
      <c r="D510" s="42" t="s">
        <v>2303</v>
      </c>
      <c r="E510" s="42" t="s">
        <v>2304</v>
      </c>
      <c r="F510" s="22" t="s">
        <v>2305</v>
      </c>
      <c r="G510" t="s">
        <v>2306</v>
      </c>
      <c r="H510" s="22" t="s">
        <v>2307</v>
      </c>
      <c r="I510" s="22" t="s">
        <v>18</v>
      </c>
      <c r="K510" t="s">
        <v>60</v>
      </c>
    </row>
    <row r="511" spans="1:11" ht="16.5" customHeight="1">
      <c r="A511" s="42" t="str">
        <f t="shared" si="12"/>
        <v>C510</v>
      </c>
      <c r="B511" s="42" t="s">
        <v>2293</v>
      </c>
      <c r="C511" s="22" t="s">
        <v>2308</v>
      </c>
      <c r="D511" s="42" t="s">
        <v>2309</v>
      </c>
      <c r="E511" s="42" t="s">
        <v>493</v>
      </c>
      <c r="F511" s="22" t="s">
        <v>2310</v>
      </c>
      <c r="G511" t="s">
        <v>2311</v>
      </c>
      <c r="H511" s="22" t="s">
        <v>2312</v>
      </c>
    </row>
    <row r="512" spans="1:11" ht="16.5" customHeight="1">
      <c r="A512" s="42" t="str">
        <f t="shared" si="12"/>
        <v>C511</v>
      </c>
      <c r="B512" s="42" t="s">
        <v>2293</v>
      </c>
      <c r="C512" s="22" t="s">
        <v>2313</v>
      </c>
      <c r="D512" s="42" t="s">
        <v>2314</v>
      </c>
      <c r="E512" s="42" t="s">
        <v>2315</v>
      </c>
      <c r="F512" s="22" t="s">
        <v>2316</v>
      </c>
      <c r="H512" s="22" t="s">
        <v>2317</v>
      </c>
    </row>
    <row r="513" spans="1:8" ht="16.5" customHeight="1">
      <c r="A513" s="42" t="str">
        <f t="shared" si="12"/>
        <v>C512</v>
      </c>
      <c r="B513" s="42" t="s">
        <v>2293</v>
      </c>
      <c r="C513" s="22" t="s">
        <v>2318</v>
      </c>
      <c r="D513" s="42" t="s">
        <v>2319</v>
      </c>
      <c r="E513" s="42" t="s">
        <v>2320</v>
      </c>
      <c r="F513" s="22" t="s">
        <v>2321</v>
      </c>
      <c r="H513" s="22" t="s">
        <v>2322</v>
      </c>
    </row>
    <row r="514" spans="1:8" ht="16.5" customHeight="1">
      <c r="A514" s="42" t="str">
        <f t="shared" si="12"/>
        <v>C513</v>
      </c>
      <c r="B514" s="42" t="s">
        <v>2323</v>
      </c>
      <c r="C514" s="22" t="s">
        <v>2324</v>
      </c>
      <c r="D514" s="42" t="s">
        <v>2325</v>
      </c>
      <c r="E514" s="42" t="s">
        <v>2326</v>
      </c>
      <c r="F514" s="22" t="s">
        <v>2327</v>
      </c>
      <c r="H514" s="22" t="s">
        <v>2328</v>
      </c>
    </row>
    <row r="515" spans="1:8" ht="16.5" customHeight="1">
      <c r="A515" s="42" t="str">
        <f t="shared" si="12"/>
        <v>C514</v>
      </c>
      <c r="B515" s="42" t="s">
        <v>2329</v>
      </c>
      <c r="C515" s="22" t="s">
        <v>2330</v>
      </c>
      <c r="D515" s="42" t="s">
        <v>2331</v>
      </c>
      <c r="E515" s="42" t="s">
        <v>1707</v>
      </c>
      <c r="F515" s="22" t="s">
        <v>2332</v>
      </c>
      <c r="H515" s="22" t="s">
        <v>2333</v>
      </c>
    </row>
    <row r="516" spans="1:8" ht="16.5" customHeight="1">
      <c r="A516" s="42" t="str">
        <f t="shared" si="12"/>
        <v>C515</v>
      </c>
      <c r="B516" s="42" t="s">
        <v>2329</v>
      </c>
      <c r="C516" s="22" t="s">
        <v>2334</v>
      </c>
      <c r="D516" s="42" t="s">
        <v>2335</v>
      </c>
      <c r="E516" s="42" t="s">
        <v>716</v>
      </c>
      <c r="F516" s="22" t="s">
        <v>2336</v>
      </c>
      <c r="G516" t="s">
        <v>2337</v>
      </c>
      <c r="H516" s="22" t="s">
        <v>2338</v>
      </c>
    </row>
    <row r="517" spans="1:8" ht="16.5" customHeight="1">
      <c r="A517" s="42" t="str">
        <f t="shared" si="12"/>
        <v>C516</v>
      </c>
      <c r="B517" s="42" t="s">
        <v>2339</v>
      </c>
      <c r="C517" s="22" t="s">
        <v>2340</v>
      </c>
      <c r="D517" s="42" t="s">
        <v>2341</v>
      </c>
      <c r="E517" s="42" t="s">
        <v>1590</v>
      </c>
      <c r="F517" s="22" t="s">
        <v>2342</v>
      </c>
      <c r="H517" s="22" t="s">
        <v>2343</v>
      </c>
    </row>
    <row r="518" spans="1:8" ht="16.5" customHeight="1">
      <c r="A518" s="42" t="str">
        <f t="shared" si="12"/>
        <v>C517</v>
      </c>
      <c r="B518" s="42" t="s">
        <v>2339</v>
      </c>
      <c r="C518" s="22" t="s">
        <v>2344</v>
      </c>
      <c r="D518" s="42" t="s">
        <v>2345</v>
      </c>
      <c r="E518" s="42" t="s">
        <v>2346</v>
      </c>
      <c r="F518" s="22" t="s">
        <v>2347</v>
      </c>
      <c r="G518" t="s">
        <v>2348</v>
      </c>
      <c r="H518" s="22" t="s">
        <v>2349</v>
      </c>
    </row>
    <row r="519" spans="1:8" ht="16.5" customHeight="1">
      <c r="A519" s="42" t="str">
        <f t="shared" si="12"/>
        <v>C518</v>
      </c>
      <c r="B519" s="42" t="s">
        <v>2350</v>
      </c>
      <c r="C519" s="22" t="s">
        <v>2351</v>
      </c>
      <c r="D519" s="42" t="s">
        <v>2352</v>
      </c>
      <c r="E519" s="42" t="s">
        <v>2214</v>
      </c>
      <c r="F519" s="22" t="s">
        <v>2353</v>
      </c>
      <c r="H519" s="22" t="s">
        <v>2354</v>
      </c>
    </row>
    <row r="520" spans="1:8" ht="16.5" customHeight="1">
      <c r="A520" s="42" t="str">
        <f t="shared" si="12"/>
        <v>C519</v>
      </c>
      <c r="B520" s="42" t="s">
        <v>2355</v>
      </c>
      <c r="C520" s="22" t="s">
        <v>2356</v>
      </c>
      <c r="D520" s="42" t="s">
        <v>2357</v>
      </c>
      <c r="E520" s="42" t="s">
        <v>347</v>
      </c>
      <c r="F520" s="22" t="s">
        <v>2358</v>
      </c>
      <c r="H520" s="22" t="s">
        <v>2359</v>
      </c>
    </row>
    <row r="521" spans="1:8" ht="16.5" customHeight="1">
      <c r="A521" s="42" t="str">
        <f t="shared" si="12"/>
        <v>C520</v>
      </c>
      <c r="B521" s="42" t="s">
        <v>2360</v>
      </c>
      <c r="C521" s="22" t="s">
        <v>2361</v>
      </c>
      <c r="D521" s="42" t="s">
        <v>2362</v>
      </c>
      <c r="E521" s="42" t="s">
        <v>2363</v>
      </c>
      <c r="H521" s="22" t="s">
        <v>2364</v>
      </c>
    </row>
    <row r="522" spans="1:8" ht="16.5" customHeight="1">
      <c r="A522" s="42" t="str">
        <f t="shared" si="12"/>
        <v>C521</v>
      </c>
      <c r="B522" s="42" t="s">
        <v>2360</v>
      </c>
      <c r="C522" s="22" t="s">
        <v>2365</v>
      </c>
      <c r="D522" s="42" t="s">
        <v>2366</v>
      </c>
      <c r="E522" s="42" t="s">
        <v>202</v>
      </c>
      <c r="G522" t="s">
        <v>2367</v>
      </c>
      <c r="H522" s="22" t="s">
        <v>2368</v>
      </c>
    </row>
    <row r="523" spans="1:8" ht="16.5" customHeight="1">
      <c r="A523" s="42" t="str">
        <f t="shared" si="12"/>
        <v>C522</v>
      </c>
      <c r="B523" s="42" t="s">
        <v>2369</v>
      </c>
      <c r="C523" s="22" t="s">
        <v>1030</v>
      </c>
      <c r="D523" s="42" t="s">
        <v>2370</v>
      </c>
      <c r="E523" s="42" t="s">
        <v>2371</v>
      </c>
      <c r="F523" s="22" t="s">
        <v>2372</v>
      </c>
      <c r="G523" t="s">
        <v>2373</v>
      </c>
      <c r="H523" s="22" t="s">
        <v>2374</v>
      </c>
    </row>
    <row r="524" spans="1:8" ht="16.5" customHeight="1">
      <c r="A524" s="42" t="str">
        <f t="shared" si="12"/>
        <v>C523</v>
      </c>
      <c r="B524" s="42" t="s">
        <v>2375</v>
      </c>
      <c r="C524" s="22" t="s">
        <v>2376</v>
      </c>
      <c r="D524" s="42" t="s">
        <v>2377</v>
      </c>
      <c r="E524" s="42" t="s">
        <v>2378</v>
      </c>
      <c r="F524" s="22" t="s">
        <v>2379</v>
      </c>
      <c r="H524" s="22" t="s">
        <v>2380</v>
      </c>
    </row>
    <row r="525" spans="1:8" ht="16.5" customHeight="1">
      <c r="A525" s="42" t="str">
        <f t="shared" si="12"/>
        <v>C524</v>
      </c>
      <c r="B525" s="42" t="s">
        <v>2375</v>
      </c>
      <c r="C525" s="22" t="s">
        <v>2381</v>
      </c>
      <c r="D525" s="42" t="s">
        <v>2382</v>
      </c>
      <c r="E525" s="42" t="s">
        <v>946</v>
      </c>
      <c r="F525" s="22" t="s">
        <v>2383</v>
      </c>
      <c r="H525" s="22" t="s">
        <v>2384</v>
      </c>
    </row>
    <row r="526" spans="1:8" ht="16.5" customHeight="1">
      <c r="A526" s="42" t="str">
        <f t="shared" si="12"/>
        <v>C525</v>
      </c>
      <c r="B526" s="42" t="s">
        <v>2375</v>
      </c>
      <c r="C526" s="22" t="s">
        <v>2385</v>
      </c>
      <c r="D526" s="42" t="s">
        <v>2386</v>
      </c>
      <c r="E526" s="42" t="s">
        <v>1581</v>
      </c>
      <c r="F526" s="22" t="s">
        <v>2387</v>
      </c>
      <c r="H526" s="22" t="s">
        <v>2388</v>
      </c>
    </row>
    <row r="527" spans="1:8" ht="16.5" customHeight="1">
      <c r="A527" s="42" t="str">
        <f t="shared" si="12"/>
        <v>C526</v>
      </c>
      <c r="B527" s="42" t="s">
        <v>2389</v>
      </c>
      <c r="C527" s="22" t="s">
        <v>758</v>
      </c>
      <c r="D527" s="42" t="s">
        <v>2390</v>
      </c>
      <c r="E527" s="42" t="s">
        <v>946</v>
      </c>
      <c r="F527" s="22" t="s">
        <v>2391</v>
      </c>
      <c r="H527" s="22" t="s">
        <v>2392</v>
      </c>
    </row>
    <row r="528" spans="1:8" ht="16.5" customHeight="1">
      <c r="A528" s="42" t="str">
        <f t="shared" si="12"/>
        <v>C527</v>
      </c>
      <c r="B528" s="42" t="s">
        <v>2393</v>
      </c>
      <c r="C528" s="22" t="s">
        <v>2394</v>
      </c>
      <c r="D528" s="42" t="s">
        <v>2395</v>
      </c>
      <c r="E528" s="42" t="s">
        <v>809</v>
      </c>
      <c r="F528" s="47" t="s">
        <v>2396</v>
      </c>
      <c r="G528" t="s">
        <v>2397</v>
      </c>
      <c r="H528" s="21" t="s">
        <v>2398</v>
      </c>
    </row>
    <row r="529" spans="1:9" ht="16.5" customHeight="1">
      <c r="A529" s="42" t="str">
        <f t="shared" si="12"/>
        <v>C528</v>
      </c>
      <c r="B529" s="42" t="s">
        <v>2399</v>
      </c>
      <c r="C529" s="22" t="s">
        <v>2400</v>
      </c>
      <c r="D529" s="42" t="s">
        <v>2401</v>
      </c>
      <c r="E529" s="42" t="s">
        <v>2402</v>
      </c>
      <c r="H529" s="21" t="s">
        <v>2403</v>
      </c>
    </row>
    <row r="530" spans="1:9" ht="16.5" customHeight="1">
      <c r="A530" s="42" t="str">
        <f t="shared" si="12"/>
        <v>C529</v>
      </c>
      <c r="B530" s="42" t="s">
        <v>2404</v>
      </c>
      <c r="C530" s="22" t="s">
        <v>2405</v>
      </c>
      <c r="D530" s="42" t="s">
        <v>2406</v>
      </c>
      <c r="E530" s="42" t="s">
        <v>2407</v>
      </c>
      <c r="F530" s="21" t="s">
        <v>2408</v>
      </c>
      <c r="H530" s="21" t="s">
        <v>2409</v>
      </c>
    </row>
    <row r="531" spans="1:9" ht="16.5" customHeight="1">
      <c r="A531" s="42" t="str">
        <f t="shared" si="12"/>
        <v>C530</v>
      </c>
      <c r="B531" s="42" t="s">
        <v>2404</v>
      </c>
      <c r="C531" s="22" t="s">
        <v>2410</v>
      </c>
      <c r="D531" s="42" t="s">
        <v>2411</v>
      </c>
      <c r="E531" s="42" t="s">
        <v>2412</v>
      </c>
      <c r="H531" s="21" t="s">
        <v>2413</v>
      </c>
    </row>
    <row r="532" spans="1:9" ht="16.5" customHeight="1">
      <c r="A532" s="42" t="str">
        <f t="shared" si="12"/>
        <v>C531</v>
      </c>
      <c r="B532" s="42" t="s">
        <v>2404</v>
      </c>
      <c r="C532" s="22" t="s">
        <v>1908</v>
      </c>
      <c r="D532" s="42" t="s">
        <v>2414</v>
      </c>
      <c r="E532" s="42" t="s">
        <v>2412</v>
      </c>
      <c r="F532" s="47" t="s">
        <v>2415</v>
      </c>
      <c r="G532" t="s">
        <v>2416</v>
      </c>
      <c r="H532" s="21" t="s">
        <v>2417</v>
      </c>
    </row>
    <row r="533" spans="1:9" ht="16.5" customHeight="1">
      <c r="A533" s="42" t="str">
        <f t="shared" si="12"/>
        <v>C532</v>
      </c>
      <c r="B533" s="42" t="s">
        <v>2418</v>
      </c>
      <c r="C533" s="22" t="s">
        <v>2419</v>
      </c>
      <c r="D533" s="42" t="s">
        <v>2420</v>
      </c>
      <c r="E533" s="42" t="s">
        <v>1590</v>
      </c>
      <c r="F533" s="47" t="s">
        <v>2421</v>
      </c>
      <c r="H533" s="21" t="s">
        <v>2422</v>
      </c>
    </row>
    <row r="534" spans="1:9" ht="16.5" customHeight="1">
      <c r="A534" s="42" t="str">
        <f t="shared" si="12"/>
        <v>C533</v>
      </c>
      <c r="B534" s="42" t="s">
        <v>2423</v>
      </c>
      <c r="C534" s="22" t="s">
        <v>2424</v>
      </c>
      <c r="D534" s="42" t="s">
        <v>2425</v>
      </c>
      <c r="E534" s="42" t="s">
        <v>2426</v>
      </c>
      <c r="F534" s="47"/>
      <c r="H534" s="21" t="s">
        <v>2427</v>
      </c>
    </row>
    <row r="535" spans="1:9" ht="16.5" customHeight="1">
      <c r="A535" s="42" t="str">
        <f t="shared" si="12"/>
        <v>C534</v>
      </c>
      <c r="B535" s="42" t="s">
        <v>2428</v>
      </c>
      <c r="C535" s="22" t="s">
        <v>2429</v>
      </c>
      <c r="D535" s="42" t="s">
        <v>2430</v>
      </c>
      <c r="E535" s="42" t="s">
        <v>62</v>
      </c>
      <c r="F535" s="47"/>
      <c r="G535" t="s">
        <v>2431</v>
      </c>
      <c r="H535" s="21" t="s">
        <v>2432</v>
      </c>
    </row>
    <row r="536" spans="1:9" ht="16.5" customHeight="1">
      <c r="A536" s="42" t="str">
        <f t="shared" si="12"/>
        <v>C535</v>
      </c>
      <c r="B536" s="42" t="s">
        <v>2428</v>
      </c>
      <c r="C536" s="22" t="s">
        <v>2016</v>
      </c>
      <c r="D536" s="42" t="s">
        <v>2433</v>
      </c>
      <c r="E536" s="42" t="s">
        <v>2434</v>
      </c>
      <c r="F536" s="47"/>
      <c r="H536" s="21" t="s">
        <v>2435</v>
      </c>
    </row>
    <row r="537" spans="1:9" ht="16.5" customHeight="1">
      <c r="A537" s="42" t="str">
        <f t="shared" si="12"/>
        <v>C536</v>
      </c>
      <c r="B537" s="42" t="s">
        <v>2436</v>
      </c>
      <c r="C537" s="22" t="s">
        <v>1472</v>
      </c>
      <c r="D537" s="42" t="s">
        <v>2437</v>
      </c>
      <c r="E537" s="42" t="s">
        <v>2438</v>
      </c>
      <c r="H537" s="21" t="s">
        <v>2439</v>
      </c>
    </row>
    <row r="538" spans="1:9" ht="16.5" customHeight="1">
      <c r="A538" s="42" t="str">
        <f t="shared" ref="A538:A601" si="13">_xlfn.CONCAT("C",TEXT(ROW()-1,"000"))</f>
        <v>C537</v>
      </c>
      <c r="B538" s="42" t="s">
        <v>2440</v>
      </c>
      <c r="C538" s="22" t="s">
        <v>714</v>
      </c>
      <c r="D538" s="42" t="s">
        <v>2441</v>
      </c>
      <c r="E538" s="42" t="s">
        <v>2442</v>
      </c>
      <c r="H538" s="21" t="s">
        <v>2443</v>
      </c>
    </row>
    <row r="539" spans="1:9" ht="25.5" customHeight="1">
      <c r="A539" s="42" t="str">
        <f t="shared" si="13"/>
        <v>C538</v>
      </c>
      <c r="B539" s="42" t="s">
        <v>2444</v>
      </c>
      <c r="C539" s="22" t="s">
        <v>2445</v>
      </c>
      <c r="D539" s="42" t="s">
        <v>2446</v>
      </c>
      <c r="E539" s="42" t="s">
        <v>2447</v>
      </c>
      <c r="F539" s="21" t="s">
        <v>2448</v>
      </c>
      <c r="G539" t="s">
        <v>2449</v>
      </c>
      <c r="H539" s="21" t="s">
        <v>2450</v>
      </c>
      <c r="I539" s="22" t="s">
        <v>18</v>
      </c>
    </row>
    <row r="540" spans="1:9" ht="16.5" customHeight="1">
      <c r="A540" s="42" t="str">
        <f t="shared" si="13"/>
        <v>C539</v>
      </c>
      <c r="B540" s="42" t="s">
        <v>2444</v>
      </c>
      <c r="C540" s="22" t="s">
        <v>2451</v>
      </c>
      <c r="D540" s="42" t="s">
        <v>2452</v>
      </c>
      <c r="E540" s="42" t="s">
        <v>2453</v>
      </c>
      <c r="H540" s="21" t="s">
        <v>2454</v>
      </c>
    </row>
    <row r="541" spans="1:9" ht="16.5" customHeight="1">
      <c r="A541" s="42" t="str">
        <f t="shared" si="13"/>
        <v>C540</v>
      </c>
      <c r="B541" s="42" t="s">
        <v>2455</v>
      </c>
      <c r="C541" s="22" t="s">
        <v>49</v>
      </c>
      <c r="D541" s="42" t="s">
        <v>2456</v>
      </c>
      <c r="E541" s="42" t="s">
        <v>2187</v>
      </c>
      <c r="F541" s="47" t="s">
        <v>2457</v>
      </c>
      <c r="G541" t="s">
        <v>2458</v>
      </c>
      <c r="H541" s="21" t="s">
        <v>2459</v>
      </c>
    </row>
    <row r="542" spans="1:9" ht="16.5" customHeight="1">
      <c r="A542" s="42" t="str">
        <f t="shared" si="13"/>
        <v>C541</v>
      </c>
      <c r="B542" s="42" t="s">
        <v>2460</v>
      </c>
      <c r="C542" s="22" t="s">
        <v>1966</v>
      </c>
      <c r="D542" s="42" t="s">
        <v>2461</v>
      </c>
      <c r="E542" s="42" t="s">
        <v>62</v>
      </c>
      <c r="F542" s="47" t="s">
        <v>2462</v>
      </c>
      <c r="H542" s="21" t="s">
        <v>2463</v>
      </c>
    </row>
    <row r="543" spans="1:9" ht="16.5" customHeight="1">
      <c r="A543" s="42" t="str">
        <f t="shared" si="13"/>
        <v>C542</v>
      </c>
      <c r="B543" s="42" t="s">
        <v>2460</v>
      </c>
      <c r="C543" s="22" t="s">
        <v>1290</v>
      </c>
      <c r="D543" s="42" t="s">
        <v>2464</v>
      </c>
      <c r="E543" s="42" t="s">
        <v>2465</v>
      </c>
      <c r="F543" s="47" t="s">
        <v>2466</v>
      </c>
      <c r="H543" s="21" t="s">
        <v>2467</v>
      </c>
    </row>
    <row r="544" spans="1:9" ht="16.5" customHeight="1">
      <c r="A544" s="42" t="str">
        <f t="shared" si="13"/>
        <v>C543</v>
      </c>
      <c r="B544" s="42" t="s">
        <v>2468</v>
      </c>
      <c r="C544" s="22" t="s">
        <v>2469</v>
      </c>
      <c r="D544" s="42" t="s">
        <v>2470</v>
      </c>
      <c r="E544" s="42" t="s">
        <v>347</v>
      </c>
      <c r="F544" s="47" t="s">
        <v>2471</v>
      </c>
      <c r="H544" s="21" t="s">
        <v>2472</v>
      </c>
    </row>
    <row r="545" spans="1:10" ht="16.5" customHeight="1">
      <c r="A545" s="42" t="str">
        <f t="shared" si="13"/>
        <v>C544</v>
      </c>
      <c r="B545" s="42" t="s">
        <v>2468</v>
      </c>
      <c r="C545" s="22" t="s">
        <v>2129</v>
      </c>
      <c r="D545" s="42" t="s">
        <v>2473</v>
      </c>
      <c r="E545" s="42" t="s">
        <v>62</v>
      </c>
      <c r="F545" s="21" t="s">
        <v>2474</v>
      </c>
      <c r="G545" t="s">
        <v>2475</v>
      </c>
      <c r="H545" s="21" t="s">
        <v>2476</v>
      </c>
    </row>
    <row r="546" spans="1:10" ht="16.5" customHeight="1">
      <c r="A546" s="42" t="str">
        <f t="shared" si="13"/>
        <v>C545</v>
      </c>
      <c r="B546" s="42" t="s">
        <v>2477</v>
      </c>
      <c r="C546" s="22" t="s">
        <v>2478</v>
      </c>
      <c r="D546" s="42" t="s">
        <v>2479</v>
      </c>
      <c r="E546" s="42" t="s">
        <v>2480</v>
      </c>
      <c r="F546" s="21" t="s">
        <v>2481</v>
      </c>
      <c r="H546" s="21" t="s">
        <v>2482</v>
      </c>
    </row>
    <row r="547" spans="1:10" ht="16.5" customHeight="1">
      <c r="A547" s="42" t="str">
        <f t="shared" si="13"/>
        <v>C546</v>
      </c>
      <c r="B547" s="42" t="s">
        <v>2477</v>
      </c>
      <c r="C547" s="22" t="s">
        <v>2483</v>
      </c>
      <c r="D547" s="42" t="s">
        <v>2484</v>
      </c>
      <c r="E547" s="42" t="s">
        <v>173</v>
      </c>
      <c r="F547" s="47" t="s">
        <v>2485</v>
      </c>
      <c r="H547" s="21" t="s">
        <v>2486</v>
      </c>
    </row>
    <row r="548" spans="1:10" ht="16.5" customHeight="1">
      <c r="A548" s="42" t="str">
        <f t="shared" si="13"/>
        <v>C547</v>
      </c>
      <c r="B548" s="42" t="s">
        <v>2477</v>
      </c>
      <c r="C548" s="22" t="s">
        <v>689</v>
      </c>
      <c r="D548" s="42" t="s">
        <v>2487</v>
      </c>
      <c r="F548" s="21" t="s">
        <v>2488</v>
      </c>
      <c r="H548" s="21" t="s">
        <v>2489</v>
      </c>
    </row>
    <row r="549" spans="1:10" ht="25.5" customHeight="1">
      <c r="A549" s="42" t="str">
        <f t="shared" si="13"/>
        <v>C548</v>
      </c>
      <c r="B549" s="42" t="s">
        <v>2490</v>
      </c>
      <c r="C549" s="22" t="s">
        <v>2491</v>
      </c>
      <c r="D549" s="42" t="s">
        <v>2492</v>
      </c>
      <c r="E549" s="42" t="s">
        <v>627</v>
      </c>
      <c r="F549" s="47" t="s">
        <v>2493</v>
      </c>
      <c r="G549" t="s">
        <v>2494</v>
      </c>
      <c r="H549" s="21" t="s">
        <v>2495</v>
      </c>
      <c r="I549" s="22" t="s">
        <v>18</v>
      </c>
    </row>
    <row r="550" spans="1:10" ht="16.5" customHeight="1">
      <c r="A550" s="42" t="str">
        <f t="shared" si="13"/>
        <v>C549</v>
      </c>
      <c r="B550" s="42" t="s">
        <v>2490</v>
      </c>
      <c r="C550" s="22" t="s">
        <v>2496</v>
      </c>
      <c r="D550" s="42" t="s">
        <v>2497</v>
      </c>
      <c r="E550" s="42" t="s">
        <v>2498</v>
      </c>
      <c r="F550" s="47" t="s">
        <v>2499</v>
      </c>
      <c r="H550" s="21" t="s">
        <v>2500</v>
      </c>
    </row>
    <row r="551" spans="1:10" ht="16.5" customHeight="1">
      <c r="A551" s="42" t="str">
        <f t="shared" si="13"/>
        <v>C550</v>
      </c>
      <c r="B551" s="42" t="s">
        <v>2490</v>
      </c>
      <c r="C551" s="22" t="s">
        <v>2501</v>
      </c>
      <c r="D551" s="42" t="s">
        <v>2502</v>
      </c>
      <c r="E551" s="42" t="s">
        <v>173</v>
      </c>
      <c r="F551" s="47" t="s">
        <v>2503</v>
      </c>
      <c r="H551" s="21" t="s">
        <v>2504</v>
      </c>
    </row>
    <row r="552" spans="1:10" ht="16.5" customHeight="1">
      <c r="A552" s="42" t="str">
        <f t="shared" si="13"/>
        <v>C551</v>
      </c>
      <c r="B552" s="42" t="s">
        <v>2505</v>
      </c>
      <c r="C552" s="22" t="s">
        <v>2501</v>
      </c>
      <c r="D552" s="42" t="s">
        <v>2506</v>
      </c>
      <c r="E552" s="42" t="s">
        <v>2507</v>
      </c>
      <c r="F552" s="22" t="s">
        <v>2508</v>
      </c>
      <c r="H552" s="22" t="s">
        <v>2509</v>
      </c>
    </row>
    <row r="553" spans="1:10" ht="16.5" customHeight="1">
      <c r="A553" s="42" t="str">
        <f t="shared" si="13"/>
        <v>C552</v>
      </c>
      <c r="B553" s="42" t="s">
        <v>2505</v>
      </c>
      <c r="C553" s="22" t="s">
        <v>487</v>
      </c>
      <c r="D553" s="42" t="s">
        <v>2510</v>
      </c>
      <c r="E553" s="42" t="s">
        <v>2511</v>
      </c>
      <c r="F553" s="22" t="s">
        <v>2512</v>
      </c>
      <c r="H553" s="22" t="s">
        <v>2513</v>
      </c>
    </row>
    <row r="554" spans="1:10" ht="16.5" customHeight="1">
      <c r="A554" s="42" t="str">
        <f t="shared" si="13"/>
        <v>C553</v>
      </c>
      <c r="B554" s="42" t="s">
        <v>2505</v>
      </c>
      <c r="C554" s="22" t="s">
        <v>1085</v>
      </c>
      <c r="D554" s="42" t="s">
        <v>2514</v>
      </c>
      <c r="E554" s="42" t="s">
        <v>2515</v>
      </c>
      <c r="H554" s="22" t="s">
        <v>2516</v>
      </c>
    </row>
    <row r="555" spans="1:10" ht="16.5" customHeight="1">
      <c r="A555" s="42" t="str">
        <f t="shared" si="13"/>
        <v>C554</v>
      </c>
      <c r="B555" s="42" t="s">
        <v>2505</v>
      </c>
      <c r="C555" s="22" t="s">
        <v>2517</v>
      </c>
      <c r="D555" s="42" t="s">
        <v>2518</v>
      </c>
      <c r="E555" s="42" t="s">
        <v>2519</v>
      </c>
      <c r="H555" s="22" t="s">
        <v>2520</v>
      </c>
    </row>
    <row r="556" spans="1:10" ht="16.5" customHeight="1">
      <c r="A556" s="42" t="str">
        <f t="shared" si="13"/>
        <v>C555</v>
      </c>
      <c r="B556" s="42" t="s">
        <v>2521</v>
      </c>
      <c r="C556" s="22" t="s">
        <v>2522</v>
      </c>
      <c r="D556" s="42" t="s">
        <v>2523</v>
      </c>
      <c r="E556" s="42" t="s">
        <v>2524</v>
      </c>
      <c r="H556" s="22" t="s">
        <v>2525</v>
      </c>
    </row>
    <row r="557" spans="1:10" ht="16.5" customHeight="1">
      <c r="A557" s="42" t="str">
        <f t="shared" si="13"/>
        <v>C556</v>
      </c>
      <c r="C557" s="22" t="s">
        <v>2526</v>
      </c>
      <c r="D557" s="42" t="s">
        <v>2527</v>
      </c>
      <c r="E557" s="42" t="s">
        <v>126</v>
      </c>
      <c r="F557" s="22" t="s">
        <v>2528</v>
      </c>
      <c r="G557" t="s">
        <v>2529</v>
      </c>
      <c r="H557" s="22" t="s">
        <v>2530</v>
      </c>
      <c r="I557" s="22" t="s">
        <v>18</v>
      </c>
      <c r="J557" s="42">
        <v>2</v>
      </c>
    </row>
    <row r="558" spans="1:10" ht="16.5" customHeight="1">
      <c r="A558" s="55" t="str">
        <f t="shared" si="13"/>
        <v>C557</v>
      </c>
      <c r="B558" s="55"/>
      <c r="C558" s="56" t="s">
        <v>2526</v>
      </c>
      <c r="D558" s="55" t="s">
        <v>2531</v>
      </c>
      <c r="E558" s="55" t="s">
        <v>2532</v>
      </c>
      <c r="F558" s="56" t="s">
        <v>2533</v>
      </c>
      <c r="G558" s="57" t="s">
        <v>2534</v>
      </c>
      <c r="H558" s="56" t="s">
        <v>2535</v>
      </c>
      <c r="I558" s="56" t="s">
        <v>18</v>
      </c>
      <c r="J558" s="42">
        <v>2</v>
      </c>
    </row>
    <row r="559" spans="1:10" ht="16.5" customHeight="1">
      <c r="A559" s="42" t="str">
        <f t="shared" si="13"/>
        <v>C558</v>
      </c>
      <c r="C559" s="22" t="s">
        <v>2526</v>
      </c>
      <c r="D559" s="42" t="s">
        <v>2536</v>
      </c>
      <c r="E559" s="42" t="s">
        <v>1155</v>
      </c>
      <c r="F559" s="22" t="s">
        <v>2537</v>
      </c>
      <c r="G559" t="s">
        <v>2538</v>
      </c>
      <c r="H559" s="22" t="s">
        <v>2539</v>
      </c>
      <c r="J559" s="42">
        <v>2</v>
      </c>
    </row>
    <row r="560" spans="1:10" ht="16.5" customHeight="1">
      <c r="A560" s="42" t="str">
        <f t="shared" si="13"/>
        <v>C559</v>
      </c>
      <c r="C560" s="22" t="s">
        <v>2526</v>
      </c>
      <c r="D560" s="42" t="s">
        <v>2540</v>
      </c>
      <c r="E560" s="42" t="s">
        <v>2541</v>
      </c>
      <c r="F560" s="22" t="s">
        <v>2542</v>
      </c>
      <c r="G560" t="s">
        <v>2543</v>
      </c>
      <c r="H560" s="22" t="s">
        <v>2544</v>
      </c>
      <c r="J560" s="42">
        <v>2</v>
      </c>
    </row>
    <row r="561" spans="1:14" ht="16.5" customHeight="1">
      <c r="A561" s="55" t="str">
        <f t="shared" si="13"/>
        <v>C560</v>
      </c>
      <c r="B561" s="55"/>
      <c r="C561" s="56" t="s">
        <v>2526</v>
      </c>
      <c r="D561" s="55" t="s">
        <v>2545</v>
      </c>
      <c r="E561" s="55" t="s">
        <v>478</v>
      </c>
      <c r="F561" s="56" t="s">
        <v>2546</v>
      </c>
      <c r="G561" s="57" t="s">
        <v>2547</v>
      </c>
      <c r="H561" s="56" t="s">
        <v>2548</v>
      </c>
      <c r="I561" s="22" t="s">
        <v>18</v>
      </c>
      <c r="J561" s="42">
        <v>1</v>
      </c>
    </row>
    <row r="562" spans="1:14" ht="16.5" customHeight="1">
      <c r="A562" s="42" t="str">
        <f t="shared" si="13"/>
        <v>C561</v>
      </c>
      <c r="C562" s="22" t="s">
        <v>2549</v>
      </c>
      <c r="D562" s="42" t="s">
        <v>2550</v>
      </c>
      <c r="E562" s="42" t="s">
        <v>2532</v>
      </c>
      <c r="F562" s="22" t="s">
        <v>2551</v>
      </c>
      <c r="G562" t="s">
        <v>2552</v>
      </c>
      <c r="H562" s="22" t="s">
        <v>2553</v>
      </c>
      <c r="J562" s="42">
        <v>4</v>
      </c>
    </row>
    <row r="563" spans="1:14" ht="16.5" customHeight="1">
      <c r="A563" s="42" t="str">
        <f t="shared" si="13"/>
        <v>C562</v>
      </c>
      <c r="C563" s="22" t="s">
        <v>2549</v>
      </c>
      <c r="D563" s="42" t="s">
        <v>2554</v>
      </c>
      <c r="E563" s="42" t="s">
        <v>565</v>
      </c>
      <c r="F563" s="22" t="s">
        <v>2555</v>
      </c>
      <c r="G563" t="s">
        <v>2556</v>
      </c>
      <c r="H563" s="22" t="s">
        <v>2557</v>
      </c>
      <c r="J563" s="42">
        <v>4</v>
      </c>
    </row>
    <row r="564" spans="1:14" ht="16.5" customHeight="1">
      <c r="A564" s="42" t="str">
        <f t="shared" si="13"/>
        <v>C563</v>
      </c>
      <c r="C564" s="22" t="s">
        <v>2558</v>
      </c>
      <c r="D564" s="42" t="s">
        <v>2559</v>
      </c>
      <c r="E564" s="42" t="s">
        <v>2560</v>
      </c>
      <c r="F564" s="48" t="s">
        <v>2561</v>
      </c>
      <c r="G564" t="s">
        <v>2562</v>
      </c>
      <c r="H564" s="22" t="s">
        <v>2563</v>
      </c>
      <c r="J564" s="42">
        <v>4</v>
      </c>
    </row>
    <row r="565" spans="1:14" ht="16.5" customHeight="1">
      <c r="A565" s="42" t="str">
        <f t="shared" si="13"/>
        <v>C564</v>
      </c>
      <c r="C565" s="22" t="s">
        <v>2558</v>
      </c>
      <c r="D565" s="42" t="s">
        <v>2564</v>
      </c>
      <c r="E565" s="42" t="s">
        <v>462</v>
      </c>
      <c r="F565" s="22" t="s">
        <v>2565</v>
      </c>
      <c r="G565" t="s">
        <v>2566</v>
      </c>
      <c r="H565" s="22" t="s">
        <v>2567</v>
      </c>
    </row>
    <row r="566" spans="1:14" ht="16.5" customHeight="1">
      <c r="A566" s="42" t="str">
        <f t="shared" si="13"/>
        <v>C565</v>
      </c>
      <c r="C566" s="22" t="s">
        <v>2558</v>
      </c>
      <c r="D566" s="42" t="s">
        <v>2568</v>
      </c>
      <c r="E566" s="42" t="s">
        <v>462</v>
      </c>
      <c r="F566" s="21" t="s">
        <v>2569</v>
      </c>
      <c r="G566" t="s">
        <v>2570</v>
      </c>
      <c r="H566" s="22" t="s">
        <v>2571</v>
      </c>
      <c r="I566" s="22" t="s">
        <v>18</v>
      </c>
      <c r="J566" s="42">
        <v>5</v>
      </c>
      <c r="N566" s="20" t="s">
        <v>2572</v>
      </c>
    </row>
    <row r="567" spans="1:14" ht="16.5" customHeight="1">
      <c r="A567" s="42" t="str">
        <f t="shared" si="13"/>
        <v>C566</v>
      </c>
      <c r="C567" s="15" t="s">
        <v>354</v>
      </c>
      <c r="D567" s="42" t="s">
        <v>2573</v>
      </c>
      <c r="E567" s="42" t="s">
        <v>1711</v>
      </c>
      <c r="F567" s="47" t="s">
        <v>2574</v>
      </c>
      <c r="G567" t="s">
        <v>2575</v>
      </c>
      <c r="J567" s="42">
        <v>1</v>
      </c>
    </row>
    <row r="568" spans="1:14" ht="16.5" customHeight="1">
      <c r="A568" s="42" t="str">
        <f t="shared" si="13"/>
        <v>C567</v>
      </c>
      <c r="C568" s="15" t="s">
        <v>354</v>
      </c>
      <c r="D568" s="42" t="s">
        <v>2576</v>
      </c>
      <c r="E568" s="42" t="s">
        <v>1680</v>
      </c>
      <c r="F568" s="47" t="s">
        <v>2577</v>
      </c>
      <c r="G568" t="s">
        <v>2578</v>
      </c>
      <c r="H568" s="21" t="s">
        <v>2579</v>
      </c>
      <c r="J568" s="42">
        <v>1</v>
      </c>
    </row>
    <row r="569" spans="1:14" ht="16.5" customHeight="1">
      <c r="A569" s="42" t="str">
        <f t="shared" si="13"/>
        <v>C568</v>
      </c>
      <c r="C569" s="15" t="s">
        <v>354</v>
      </c>
      <c r="D569" s="42" t="s">
        <v>2580</v>
      </c>
      <c r="E569" s="42" t="s">
        <v>2581</v>
      </c>
      <c r="F569" s="47" t="s">
        <v>2582</v>
      </c>
      <c r="G569" t="s">
        <v>2583</v>
      </c>
      <c r="H569" s="21" t="s">
        <v>2584</v>
      </c>
      <c r="J569" s="42">
        <v>1</v>
      </c>
    </row>
    <row r="570" spans="1:14" ht="16.5" customHeight="1">
      <c r="A570" s="42" t="str">
        <f t="shared" si="13"/>
        <v>C569</v>
      </c>
      <c r="C570" s="15" t="s">
        <v>354</v>
      </c>
      <c r="D570" s="42" t="s">
        <v>2585</v>
      </c>
      <c r="E570" s="42" t="s">
        <v>2586</v>
      </c>
      <c r="G570" t="s">
        <v>2587</v>
      </c>
      <c r="H570" s="21" t="s">
        <v>2588</v>
      </c>
      <c r="J570" s="42">
        <v>1</v>
      </c>
    </row>
    <row r="571" spans="1:14" ht="16.5" customHeight="1">
      <c r="A571" s="42" t="str">
        <f t="shared" si="13"/>
        <v>C570</v>
      </c>
      <c r="C571" s="22" t="s">
        <v>2589</v>
      </c>
      <c r="D571" s="42" t="s">
        <v>2590</v>
      </c>
      <c r="E571" s="42" t="s">
        <v>2591</v>
      </c>
      <c r="G571" t="s">
        <v>2592</v>
      </c>
      <c r="H571" s="21" t="s">
        <v>2593</v>
      </c>
      <c r="J571" s="42">
        <v>1</v>
      </c>
    </row>
    <row r="572" spans="1:14" ht="16.5" customHeight="1">
      <c r="A572" s="55" t="str">
        <f t="shared" si="13"/>
        <v>C571</v>
      </c>
      <c r="B572" s="55"/>
      <c r="C572" s="56" t="s">
        <v>2589</v>
      </c>
      <c r="D572" s="55" t="s">
        <v>2594</v>
      </c>
      <c r="E572" s="55" t="s">
        <v>2595</v>
      </c>
      <c r="F572" s="56"/>
      <c r="G572" s="57" t="s">
        <v>2596</v>
      </c>
      <c r="H572" s="72" t="s">
        <v>2597</v>
      </c>
      <c r="I572" s="56" t="s">
        <v>18</v>
      </c>
    </row>
    <row r="573" spans="1:14" ht="16.5" customHeight="1">
      <c r="A573" s="42" t="str">
        <f t="shared" si="13"/>
        <v>C572</v>
      </c>
      <c r="C573" s="22" t="s">
        <v>2589</v>
      </c>
      <c r="D573" s="42" t="s">
        <v>2598</v>
      </c>
      <c r="E573" s="42" t="s">
        <v>319</v>
      </c>
      <c r="G573" t="s">
        <v>2599</v>
      </c>
      <c r="H573" s="21" t="s">
        <v>2600</v>
      </c>
      <c r="J573" s="42">
        <v>1</v>
      </c>
    </row>
    <row r="574" spans="1:14" ht="16.5" customHeight="1">
      <c r="A574" s="42" t="str">
        <f t="shared" si="13"/>
        <v>C573</v>
      </c>
      <c r="C574" s="22" t="s">
        <v>2589</v>
      </c>
      <c r="D574" s="42" t="s">
        <v>2601</v>
      </c>
      <c r="E574" s="42" t="s">
        <v>2602</v>
      </c>
      <c r="G574" t="s">
        <v>2603</v>
      </c>
      <c r="H574" s="21" t="s">
        <v>2604</v>
      </c>
      <c r="J574" s="42">
        <v>1</v>
      </c>
    </row>
    <row r="575" spans="1:14" ht="16.5" customHeight="1">
      <c r="A575" s="42" t="str">
        <f t="shared" si="13"/>
        <v>C574</v>
      </c>
      <c r="C575" s="22" t="s">
        <v>2589</v>
      </c>
      <c r="D575" s="42" t="s">
        <v>2605</v>
      </c>
      <c r="E575" s="42" t="s">
        <v>1155</v>
      </c>
      <c r="F575" s="47" t="s">
        <v>2606</v>
      </c>
      <c r="H575" s="21" t="s">
        <v>2607</v>
      </c>
    </row>
    <row r="576" spans="1:14" ht="16.5" customHeight="1">
      <c r="A576" s="42" t="str">
        <f t="shared" si="13"/>
        <v>C575</v>
      </c>
      <c r="C576" s="22" t="s">
        <v>2589</v>
      </c>
      <c r="D576" s="42" t="s">
        <v>2608</v>
      </c>
      <c r="E576" s="42" t="s">
        <v>898</v>
      </c>
      <c r="G576" t="s">
        <v>2609</v>
      </c>
      <c r="H576" s="21" t="s">
        <v>2610</v>
      </c>
    </row>
    <row r="577" spans="1:17" ht="16.5" customHeight="1">
      <c r="A577" s="42" t="str">
        <f t="shared" si="13"/>
        <v>C576</v>
      </c>
      <c r="C577" s="22" t="s">
        <v>186</v>
      </c>
      <c r="D577" s="42" t="s">
        <v>2611</v>
      </c>
      <c r="E577" s="42" t="s">
        <v>173</v>
      </c>
      <c r="H577" s="21" t="s">
        <v>2612</v>
      </c>
    </row>
    <row r="578" spans="1:17" ht="16.5" customHeight="1">
      <c r="A578" s="42" t="str">
        <f t="shared" si="13"/>
        <v>C577</v>
      </c>
      <c r="C578" s="22" t="s">
        <v>186</v>
      </c>
      <c r="D578" s="42" t="s">
        <v>2613</v>
      </c>
      <c r="E578" s="42" t="s">
        <v>2614</v>
      </c>
      <c r="G578" t="s">
        <v>2615</v>
      </c>
      <c r="H578" s="21" t="s">
        <v>2616</v>
      </c>
      <c r="J578" s="42">
        <v>1</v>
      </c>
    </row>
    <row r="579" spans="1:17" ht="16.5" customHeight="1">
      <c r="A579" s="42" t="str">
        <f t="shared" si="13"/>
        <v>C578</v>
      </c>
      <c r="C579" s="22" t="s">
        <v>2617</v>
      </c>
      <c r="D579" s="42" t="s">
        <v>2618</v>
      </c>
      <c r="E579" s="42" t="s">
        <v>813</v>
      </c>
      <c r="F579" s="47" t="s">
        <v>2619</v>
      </c>
      <c r="G579" t="s">
        <v>2620</v>
      </c>
      <c r="H579" s="21" t="s">
        <v>2621</v>
      </c>
    </row>
    <row r="580" spans="1:17" ht="16.5" customHeight="1">
      <c r="A580" s="42" t="str">
        <f t="shared" si="13"/>
        <v>C579</v>
      </c>
      <c r="C580" s="22" t="s">
        <v>2617</v>
      </c>
      <c r="D580" s="42" t="s">
        <v>2622</v>
      </c>
      <c r="E580" s="42" t="s">
        <v>1590</v>
      </c>
      <c r="F580" s="47" t="s">
        <v>2623</v>
      </c>
      <c r="G580" t="s">
        <v>2624</v>
      </c>
      <c r="H580" s="21" t="s">
        <v>2625</v>
      </c>
    </row>
    <row r="581" spans="1:17" ht="16.5" customHeight="1">
      <c r="A581" s="42" t="str">
        <f t="shared" si="13"/>
        <v>C580</v>
      </c>
      <c r="B581" s="42" t="s">
        <v>2626</v>
      </c>
      <c r="C581" s="22" t="s">
        <v>2627</v>
      </c>
      <c r="D581" s="42" t="s">
        <v>2628</v>
      </c>
      <c r="E581" s="42" t="s">
        <v>499</v>
      </c>
      <c r="F581" s="21" t="s">
        <v>2629</v>
      </c>
      <c r="H581" s="21" t="s">
        <v>2630</v>
      </c>
    </row>
    <row r="582" spans="1:17" ht="16.5" customHeight="1">
      <c r="A582" s="42" t="str">
        <f t="shared" si="13"/>
        <v>C581</v>
      </c>
      <c r="B582" s="42" t="s">
        <v>2626</v>
      </c>
      <c r="C582" s="22" t="s">
        <v>714</v>
      </c>
      <c r="D582" s="42" t="s">
        <v>2631</v>
      </c>
      <c r="E582" s="42" t="s">
        <v>1722</v>
      </c>
      <c r="G582" t="s">
        <v>2632</v>
      </c>
      <c r="H582" s="21" t="s">
        <v>2633</v>
      </c>
    </row>
    <row r="583" spans="1:17" ht="16.5" customHeight="1">
      <c r="A583" s="42" t="str">
        <f t="shared" si="13"/>
        <v>C582</v>
      </c>
      <c r="B583" s="42" t="s">
        <v>2634</v>
      </c>
      <c r="C583" s="22" t="s">
        <v>2635</v>
      </c>
      <c r="D583" s="42" t="s">
        <v>2636</v>
      </c>
      <c r="E583" s="42" t="s">
        <v>2637</v>
      </c>
      <c r="F583" s="47" t="s">
        <v>2638</v>
      </c>
      <c r="H583" s="21" t="s">
        <v>2639</v>
      </c>
    </row>
    <row r="584" spans="1:17" ht="16.5" customHeight="1">
      <c r="A584" s="42" t="str">
        <f t="shared" si="13"/>
        <v>C583</v>
      </c>
      <c r="C584" s="22" t="s">
        <v>2451</v>
      </c>
      <c r="D584" s="42" t="s">
        <v>2640</v>
      </c>
      <c r="E584" s="42" t="s">
        <v>1119</v>
      </c>
      <c r="F584" s="47" t="s">
        <v>2641</v>
      </c>
      <c r="G584" t="s">
        <v>2642</v>
      </c>
      <c r="H584" s="21" t="s">
        <v>2643</v>
      </c>
    </row>
    <row r="585" spans="1:17" ht="16.5" customHeight="1">
      <c r="A585" s="42" t="str">
        <f t="shared" si="13"/>
        <v>C584</v>
      </c>
      <c r="C585" s="22" t="s">
        <v>2451</v>
      </c>
      <c r="D585" s="42" t="s">
        <v>2644</v>
      </c>
      <c r="E585" s="42" t="s">
        <v>2645</v>
      </c>
      <c r="F585" s="47" t="s">
        <v>2646</v>
      </c>
      <c r="H585" s="21" t="s">
        <v>2647</v>
      </c>
    </row>
    <row r="586" spans="1:17" ht="16.5" customHeight="1">
      <c r="A586" s="42" t="str">
        <f t="shared" si="13"/>
        <v>C585</v>
      </c>
      <c r="C586" s="22" t="s">
        <v>1557</v>
      </c>
      <c r="D586" t="s">
        <v>2648</v>
      </c>
      <c r="F586" s="47"/>
      <c r="G586" t="s">
        <v>2649</v>
      </c>
      <c r="H586" s="21"/>
      <c r="I586" s="22" t="s">
        <v>18</v>
      </c>
      <c r="J586" s="22" t="s">
        <v>2650</v>
      </c>
      <c r="M586" t="s">
        <v>2651</v>
      </c>
      <c r="N586" t="s">
        <v>2652</v>
      </c>
      <c r="O586" t="s">
        <v>2653</v>
      </c>
    </row>
    <row r="587" spans="1:17" ht="16.5" customHeight="1">
      <c r="A587" s="42" t="str">
        <f t="shared" si="13"/>
        <v>C586</v>
      </c>
      <c r="B587" s="42" t="s">
        <v>2654</v>
      </c>
      <c r="C587" s="22" t="s">
        <v>1447</v>
      </c>
      <c r="N587" t="s">
        <v>2655</v>
      </c>
    </row>
    <row r="588" spans="1:17" ht="16.5" customHeight="1">
      <c r="A588" s="42" t="str">
        <f t="shared" si="13"/>
        <v>C587</v>
      </c>
      <c r="B588" s="42" t="s">
        <v>2656</v>
      </c>
      <c r="C588" s="22" t="s">
        <v>2657</v>
      </c>
      <c r="D588" s="42" t="s">
        <v>2194</v>
      </c>
      <c r="E588" s="42" t="s">
        <v>62</v>
      </c>
      <c r="F588" s="47" t="s">
        <v>2658</v>
      </c>
      <c r="H588" s="21" t="s">
        <v>2659</v>
      </c>
      <c r="N588" t="s">
        <v>2660</v>
      </c>
      <c r="P588" t="s">
        <v>2661</v>
      </c>
      <c r="Q588" s="20" t="s">
        <v>2662</v>
      </c>
    </row>
    <row r="589" spans="1:17" ht="16.5" customHeight="1">
      <c r="A589" s="42" t="str">
        <f t="shared" si="13"/>
        <v>C588</v>
      </c>
      <c r="B589" s="42" t="s">
        <v>2663</v>
      </c>
      <c r="C589" s="22" t="s">
        <v>605</v>
      </c>
      <c r="D589" s="42" t="s">
        <v>2664</v>
      </c>
      <c r="E589" s="42" t="s">
        <v>1021</v>
      </c>
      <c r="F589" s="47" t="s">
        <v>2665</v>
      </c>
      <c r="H589" s="21" t="s">
        <v>2666</v>
      </c>
    </row>
    <row r="590" spans="1:17" ht="16.5" customHeight="1">
      <c r="A590" s="42" t="str">
        <f t="shared" si="13"/>
        <v>C589</v>
      </c>
      <c r="B590" s="42" t="s">
        <v>2667</v>
      </c>
      <c r="C590" s="22" t="s">
        <v>49</v>
      </c>
      <c r="D590" s="42" t="s">
        <v>2668</v>
      </c>
      <c r="E590" s="42" t="s">
        <v>2669</v>
      </c>
      <c r="H590" s="21" t="s">
        <v>2670</v>
      </c>
    </row>
    <row r="591" spans="1:17" ht="16.5" customHeight="1">
      <c r="A591" s="42" t="str">
        <f t="shared" si="13"/>
        <v>C590</v>
      </c>
      <c r="B591" s="42" t="s">
        <v>2667</v>
      </c>
      <c r="C591" s="22" t="s">
        <v>2671</v>
      </c>
      <c r="D591" s="42" t="s">
        <v>2672</v>
      </c>
      <c r="E591" s="42" t="s">
        <v>2673</v>
      </c>
      <c r="F591" s="47" t="s">
        <v>2674</v>
      </c>
      <c r="G591" s="42" t="s">
        <v>2675</v>
      </c>
      <c r="H591" s="21" t="s">
        <v>2676</v>
      </c>
    </row>
    <row r="592" spans="1:17" ht="16.5" customHeight="1">
      <c r="A592" s="42" t="str">
        <f t="shared" si="13"/>
        <v>C591</v>
      </c>
      <c r="B592" s="42" t="s">
        <v>2677</v>
      </c>
      <c r="C592" s="22" t="s">
        <v>1908</v>
      </c>
      <c r="D592" s="42" t="s">
        <v>2678</v>
      </c>
      <c r="E592" s="42" t="s">
        <v>963</v>
      </c>
      <c r="H592" s="21" t="s">
        <v>2679</v>
      </c>
    </row>
    <row r="593" spans="1:11" ht="16.5" customHeight="1">
      <c r="A593" s="42" t="str">
        <f t="shared" si="13"/>
        <v>C592</v>
      </c>
      <c r="B593" s="42" t="s">
        <v>2677</v>
      </c>
      <c r="C593" s="22" t="s">
        <v>2201</v>
      </c>
      <c r="D593" s="42" t="s">
        <v>2680</v>
      </c>
      <c r="E593" s="42" t="s">
        <v>1590</v>
      </c>
      <c r="H593" s="21" t="s">
        <v>2681</v>
      </c>
    </row>
    <row r="594" spans="1:11" ht="16.5" customHeight="1">
      <c r="A594" s="42" t="str">
        <f t="shared" si="13"/>
        <v>C593</v>
      </c>
      <c r="B594" s="42" t="s">
        <v>2682</v>
      </c>
      <c r="C594" s="22" t="s">
        <v>293</v>
      </c>
      <c r="D594" s="42" t="s">
        <v>2683</v>
      </c>
      <c r="E594" s="42" t="s">
        <v>2684</v>
      </c>
      <c r="H594" s="21" t="s">
        <v>2685</v>
      </c>
    </row>
    <row r="595" spans="1:11" ht="16.5" customHeight="1">
      <c r="A595" s="42" t="str">
        <f t="shared" si="13"/>
        <v>C594</v>
      </c>
      <c r="B595" s="42" t="s">
        <v>2686</v>
      </c>
      <c r="C595" s="22" t="s">
        <v>2687</v>
      </c>
      <c r="D595" s="42" t="s">
        <v>2688</v>
      </c>
      <c r="E595" s="42" t="s">
        <v>347</v>
      </c>
      <c r="F595" s="47" t="s">
        <v>2689</v>
      </c>
      <c r="H595" s="21" t="s">
        <v>2690</v>
      </c>
    </row>
    <row r="596" spans="1:11" ht="16.5" customHeight="1">
      <c r="A596" s="42" t="str">
        <f t="shared" si="13"/>
        <v>C595</v>
      </c>
      <c r="B596" s="42" t="s">
        <v>2691</v>
      </c>
      <c r="C596" s="22" t="s">
        <v>1790</v>
      </c>
      <c r="D596" s="42" t="s">
        <v>2692</v>
      </c>
      <c r="E596" s="42" t="s">
        <v>1356</v>
      </c>
      <c r="F596" s="21" t="s">
        <v>2693</v>
      </c>
      <c r="G596" t="s">
        <v>2694</v>
      </c>
      <c r="H596" s="21" t="s">
        <v>2695</v>
      </c>
    </row>
    <row r="597" spans="1:11" ht="16.5" customHeight="1">
      <c r="A597" s="42" t="str">
        <f t="shared" si="13"/>
        <v>C596</v>
      </c>
      <c r="B597" s="42" t="s">
        <v>2696</v>
      </c>
      <c r="C597" s="22" t="s">
        <v>2697</v>
      </c>
      <c r="D597" s="42" t="s">
        <v>2698</v>
      </c>
      <c r="E597" s="42" t="s">
        <v>2699</v>
      </c>
      <c r="F597" s="21" t="s">
        <v>2700</v>
      </c>
      <c r="H597" s="21" t="s">
        <v>2701</v>
      </c>
    </row>
    <row r="598" spans="1:11" ht="16.5" customHeight="1">
      <c r="A598" s="42" t="str">
        <f t="shared" si="13"/>
        <v>C597</v>
      </c>
      <c r="B598" s="42" t="s">
        <v>2696</v>
      </c>
      <c r="C598" s="22" t="s">
        <v>709</v>
      </c>
      <c r="D598" s="42" t="s">
        <v>2702</v>
      </c>
      <c r="E598" s="42" t="s">
        <v>2703</v>
      </c>
      <c r="F598" s="21" t="s">
        <v>2704</v>
      </c>
      <c r="H598" s="21" t="s">
        <v>2705</v>
      </c>
      <c r="J598" s="22"/>
      <c r="K598" t="s">
        <v>60</v>
      </c>
    </row>
    <row r="599" spans="1:11" ht="16.5" customHeight="1">
      <c r="A599" s="42" t="str">
        <f t="shared" si="13"/>
        <v>C598</v>
      </c>
      <c r="B599" s="42" t="s">
        <v>2696</v>
      </c>
      <c r="C599" s="22" t="s">
        <v>2318</v>
      </c>
      <c r="D599" s="42" t="s">
        <v>2706</v>
      </c>
      <c r="E599" s="42" t="s">
        <v>2707</v>
      </c>
      <c r="H599" s="21" t="s">
        <v>2708</v>
      </c>
    </row>
    <row r="600" spans="1:11" ht="16.5" customHeight="1">
      <c r="A600" s="42" t="str">
        <f t="shared" si="13"/>
        <v>C599</v>
      </c>
      <c r="B600" s="42" t="s">
        <v>2696</v>
      </c>
      <c r="C600" s="22" t="s">
        <v>2709</v>
      </c>
      <c r="D600" s="42" t="s">
        <v>2710</v>
      </c>
      <c r="E600" s="42" t="s">
        <v>62</v>
      </c>
      <c r="F600" s="21" t="s">
        <v>2711</v>
      </c>
      <c r="G600" t="s">
        <v>2712</v>
      </c>
      <c r="H600" s="21" t="s">
        <v>2713</v>
      </c>
    </row>
    <row r="601" spans="1:11" ht="16.5" customHeight="1">
      <c r="A601" s="42" t="str">
        <f t="shared" si="13"/>
        <v>C600</v>
      </c>
      <c r="B601" s="42" t="s">
        <v>2714</v>
      </c>
      <c r="C601" s="22" t="s">
        <v>2715</v>
      </c>
      <c r="D601" s="42" t="s">
        <v>2716</v>
      </c>
      <c r="E601" s="42" t="s">
        <v>2717</v>
      </c>
      <c r="H601" s="21" t="s">
        <v>2718</v>
      </c>
    </row>
    <row r="602" spans="1:11" ht="16.5" customHeight="1">
      <c r="A602" s="42" t="str">
        <f t="shared" ref="A602:A665" si="14">_xlfn.CONCAT("C",TEXT(ROW()-1,"000"))</f>
        <v>C601</v>
      </c>
      <c r="B602" s="42" t="s">
        <v>2714</v>
      </c>
      <c r="C602" s="22" t="s">
        <v>2719</v>
      </c>
      <c r="D602" s="42" t="s">
        <v>2078</v>
      </c>
      <c r="E602" s="42" t="s">
        <v>173</v>
      </c>
      <c r="F602" s="21" t="s">
        <v>2720</v>
      </c>
      <c r="H602" s="21" t="s">
        <v>2721</v>
      </c>
    </row>
    <row r="603" spans="1:11" ht="16.5" customHeight="1">
      <c r="A603" s="42" t="str">
        <f t="shared" si="14"/>
        <v>C602</v>
      </c>
      <c r="B603" s="42" t="s">
        <v>2722</v>
      </c>
      <c r="C603" s="22" t="s">
        <v>1105</v>
      </c>
      <c r="D603" s="42" t="s">
        <v>2723</v>
      </c>
      <c r="E603" s="42" t="s">
        <v>2724</v>
      </c>
      <c r="F603" s="49" t="s">
        <v>2725</v>
      </c>
      <c r="G603" t="s">
        <v>2726</v>
      </c>
      <c r="H603" s="21" t="s">
        <v>2727</v>
      </c>
    </row>
    <row r="604" spans="1:11" ht="16.5" customHeight="1">
      <c r="A604" s="42" t="str">
        <f t="shared" si="14"/>
        <v>C603</v>
      </c>
      <c r="B604" s="42" t="s">
        <v>2722</v>
      </c>
      <c r="C604" s="22" t="s">
        <v>2365</v>
      </c>
      <c r="D604" s="42" t="s">
        <v>2728</v>
      </c>
      <c r="E604" s="42" t="s">
        <v>2729</v>
      </c>
      <c r="F604" s="49" t="s">
        <v>2730</v>
      </c>
      <c r="H604" s="21" t="s">
        <v>2731</v>
      </c>
    </row>
    <row r="605" spans="1:11" ht="16.5" customHeight="1">
      <c r="A605" s="42" t="str">
        <f t="shared" si="14"/>
        <v>C604</v>
      </c>
      <c r="B605" s="42" t="s">
        <v>2722</v>
      </c>
      <c r="C605" s="22" t="s">
        <v>206</v>
      </c>
      <c r="D605" s="42" t="s">
        <v>2732</v>
      </c>
      <c r="E605" s="42" t="s">
        <v>2733</v>
      </c>
      <c r="F605" s="49" t="s">
        <v>2734</v>
      </c>
      <c r="H605" s="21" t="s">
        <v>2735</v>
      </c>
    </row>
    <row r="606" spans="1:11" ht="16.5" customHeight="1">
      <c r="A606" s="42" t="str">
        <f t="shared" si="14"/>
        <v>C605</v>
      </c>
      <c r="B606" s="42" t="s">
        <v>2736</v>
      </c>
      <c r="C606" s="22" t="s">
        <v>2737</v>
      </c>
      <c r="D606" s="42" t="s">
        <v>2738</v>
      </c>
      <c r="E606" s="42" t="s">
        <v>946</v>
      </c>
      <c r="F606" s="21" t="s">
        <v>2739</v>
      </c>
      <c r="H606" s="21" t="s">
        <v>2740</v>
      </c>
    </row>
    <row r="607" spans="1:11" ht="16.5" customHeight="1">
      <c r="A607" s="42" t="str">
        <f t="shared" si="14"/>
        <v>C606</v>
      </c>
      <c r="B607" s="42" t="s">
        <v>2736</v>
      </c>
      <c r="C607" s="22" t="s">
        <v>2741</v>
      </c>
      <c r="D607" s="42" t="s">
        <v>2742</v>
      </c>
      <c r="E607" s="42" t="s">
        <v>2743</v>
      </c>
      <c r="F607" s="21" t="s">
        <v>2744</v>
      </c>
      <c r="G607" t="s">
        <v>2745</v>
      </c>
    </row>
    <row r="608" spans="1:11" ht="16.5" customHeight="1">
      <c r="A608" s="42" t="str">
        <f t="shared" si="14"/>
        <v>C607</v>
      </c>
      <c r="B608" s="42" t="s">
        <v>2736</v>
      </c>
      <c r="C608" s="22" t="s">
        <v>2746</v>
      </c>
      <c r="D608" s="42" t="s">
        <v>2747</v>
      </c>
      <c r="E608" s="42" t="s">
        <v>1048</v>
      </c>
      <c r="F608" s="49" t="s">
        <v>2748</v>
      </c>
      <c r="G608" t="s">
        <v>2749</v>
      </c>
      <c r="H608" s="21" t="s">
        <v>2750</v>
      </c>
    </row>
    <row r="609" spans="1:8" ht="16.5" customHeight="1">
      <c r="A609" s="42" t="str">
        <f t="shared" si="14"/>
        <v>C608</v>
      </c>
      <c r="B609" s="42" t="s">
        <v>2751</v>
      </c>
      <c r="C609" s="22" t="s">
        <v>2376</v>
      </c>
      <c r="D609" s="42" t="s">
        <v>2752</v>
      </c>
      <c r="E609" s="42" t="s">
        <v>2753</v>
      </c>
      <c r="F609" s="49" t="s">
        <v>2754</v>
      </c>
      <c r="G609" t="s">
        <v>2755</v>
      </c>
      <c r="H609" s="21" t="s">
        <v>2756</v>
      </c>
    </row>
    <row r="610" spans="1:8" ht="16.5" customHeight="1">
      <c r="A610" s="42" t="str">
        <f t="shared" si="14"/>
        <v>C609</v>
      </c>
      <c r="B610" s="42" t="s">
        <v>2751</v>
      </c>
      <c r="C610" s="22" t="s">
        <v>1374</v>
      </c>
      <c r="D610" s="42" t="s">
        <v>2757</v>
      </c>
      <c r="E610" s="42" t="s">
        <v>2758</v>
      </c>
      <c r="F610" s="49" t="s">
        <v>2759</v>
      </c>
      <c r="G610" t="s">
        <v>2760</v>
      </c>
      <c r="H610" s="21" t="s">
        <v>2761</v>
      </c>
    </row>
    <row r="611" spans="1:8" ht="16.5" customHeight="1">
      <c r="A611" s="42" t="str">
        <f t="shared" si="14"/>
        <v>C610</v>
      </c>
      <c r="B611" s="42" t="s">
        <v>2751</v>
      </c>
      <c r="C611" s="22" t="s">
        <v>340</v>
      </c>
      <c r="D611" s="42" t="s">
        <v>2762</v>
      </c>
      <c r="E611" s="42" t="s">
        <v>2763</v>
      </c>
      <c r="F611" s="49" t="s">
        <v>2764</v>
      </c>
      <c r="G611" s="48" t="s">
        <v>2765</v>
      </c>
      <c r="H611" s="21" t="s">
        <v>2766</v>
      </c>
    </row>
    <row r="612" spans="1:8" ht="16.5" customHeight="1">
      <c r="A612" s="42" t="str">
        <f t="shared" si="14"/>
        <v>C611</v>
      </c>
      <c r="B612" s="42" t="s">
        <v>2767</v>
      </c>
      <c r="C612" s="22" t="s">
        <v>2768</v>
      </c>
      <c r="D612" s="42" t="s">
        <v>2769</v>
      </c>
      <c r="E612" s="42" t="s">
        <v>1124</v>
      </c>
      <c r="F612" s="49" t="s">
        <v>2770</v>
      </c>
      <c r="G612" t="s">
        <v>2771</v>
      </c>
      <c r="H612" s="21" t="s">
        <v>2772</v>
      </c>
    </row>
    <row r="613" spans="1:8" ht="16.5" customHeight="1">
      <c r="A613" s="42" t="str">
        <f t="shared" si="14"/>
        <v>C612</v>
      </c>
      <c r="B613" s="42" t="s">
        <v>2767</v>
      </c>
      <c r="C613" s="22" t="s">
        <v>2773</v>
      </c>
      <c r="D613" s="42" t="s">
        <v>2774</v>
      </c>
      <c r="E613" s="42" t="s">
        <v>1994</v>
      </c>
      <c r="F613" s="49" t="s">
        <v>2775</v>
      </c>
      <c r="H613" s="21" t="s">
        <v>2776</v>
      </c>
    </row>
    <row r="614" spans="1:8" ht="16.5" customHeight="1">
      <c r="A614" s="42" t="str">
        <f t="shared" si="14"/>
        <v>C613</v>
      </c>
      <c r="B614" s="42" t="s">
        <v>2777</v>
      </c>
      <c r="C614" s="22" t="s">
        <v>800</v>
      </c>
      <c r="D614" s="42" t="s">
        <v>2778</v>
      </c>
      <c r="E614" s="42" t="s">
        <v>2434</v>
      </c>
      <c r="F614" s="49" t="s">
        <v>2779</v>
      </c>
      <c r="H614" s="21" t="s">
        <v>2780</v>
      </c>
    </row>
    <row r="615" spans="1:8" ht="16.5" customHeight="1">
      <c r="A615" s="42" t="str">
        <f t="shared" si="14"/>
        <v>C614</v>
      </c>
      <c r="B615" s="42" t="s">
        <v>2777</v>
      </c>
      <c r="C615" s="22" t="s">
        <v>2781</v>
      </c>
      <c r="D615" s="42" t="s">
        <v>2782</v>
      </c>
      <c r="E615" s="42" t="s">
        <v>2101</v>
      </c>
      <c r="F615" s="21" t="s">
        <v>2783</v>
      </c>
      <c r="H615" s="21" t="s">
        <v>2784</v>
      </c>
    </row>
    <row r="616" spans="1:8" ht="16.5" customHeight="1">
      <c r="A616" s="42" t="str">
        <f t="shared" si="14"/>
        <v>C615</v>
      </c>
      <c r="B616" s="42" t="s">
        <v>2785</v>
      </c>
      <c r="C616" s="22" t="s">
        <v>2376</v>
      </c>
      <c r="D616" s="42" t="s">
        <v>2786</v>
      </c>
      <c r="E616" s="42" t="s">
        <v>2787</v>
      </c>
      <c r="F616" s="47" t="s">
        <v>2788</v>
      </c>
      <c r="H616" s="21" t="s">
        <v>2789</v>
      </c>
    </row>
    <row r="617" spans="1:8" ht="16.5" customHeight="1">
      <c r="A617" s="42" t="str">
        <f t="shared" si="14"/>
        <v>C616</v>
      </c>
      <c r="B617" s="42" t="s">
        <v>2785</v>
      </c>
      <c r="C617" s="22" t="s">
        <v>2334</v>
      </c>
      <c r="D617" s="42" t="s">
        <v>2790</v>
      </c>
      <c r="E617" s="42" t="s">
        <v>2645</v>
      </c>
      <c r="F617" s="47" t="s">
        <v>2791</v>
      </c>
      <c r="H617" s="21" t="s">
        <v>2792</v>
      </c>
    </row>
    <row r="618" spans="1:8" ht="16.5" customHeight="1">
      <c r="A618" s="42" t="str">
        <f t="shared" si="14"/>
        <v>C617</v>
      </c>
      <c r="B618" s="42" t="s">
        <v>2785</v>
      </c>
      <c r="C618" s="22" t="s">
        <v>620</v>
      </c>
      <c r="D618" s="42" t="s">
        <v>2793</v>
      </c>
      <c r="E618" s="42" t="s">
        <v>2794</v>
      </c>
      <c r="F618" s="47" t="s">
        <v>2795</v>
      </c>
      <c r="G618" t="s">
        <v>2796</v>
      </c>
    </row>
    <row r="619" spans="1:8" ht="16.5" customHeight="1">
      <c r="A619" s="42" t="str">
        <f t="shared" si="14"/>
        <v>C618</v>
      </c>
      <c r="B619" s="42" t="s">
        <v>2797</v>
      </c>
      <c r="C619" s="22" t="s">
        <v>2124</v>
      </c>
      <c r="D619" s="42" t="s">
        <v>2798</v>
      </c>
      <c r="E619" s="42" t="s">
        <v>319</v>
      </c>
      <c r="F619" s="47" t="s">
        <v>2799</v>
      </c>
      <c r="G619" t="s">
        <v>2800</v>
      </c>
      <c r="H619" s="21" t="s">
        <v>2801</v>
      </c>
    </row>
    <row r="620" spans="1:8" ht="16.5" customHeight="1">
      <c r="A620" s="42" t="str">
        <f t="shared" si="14"/>
        <v>C619</v>
      </c>
      <c r="B620" s="42" t="s">
        <v>2797</v>
      </c>
      <c r="C620" s="22" t="s">
        <v>2802</v>
      </c>
      <c r="D620" s="42" t="s">
        <v>2803</v>
      </c>
      <c r="E620" s="42" t="s">
        <v>2541</v>
      </c>
      <c r="F620" s="47" t="s">
        <v>2804</v>
      </c>
      <c r="H620" s="21" t="s">
        <v>2805</v>
      </c>
    </row>
    <row r="621" spans="1:8" ht="16.5" customHeight="1">
      <c r="A621" s="42" t="str">
        <f t="shared" si="14"/>
        <v>C620</v>
      </c>
      <c r="B621" s="42" t="s">
        <v>2806</v>
      </c>
      <c r="C621" s="22" t="s">
        <v>487</v>
      </c>
      <c r="D621" s="42" t="s">
        <v>2807</v>
      </c>
      <c r="E621" s="42" t="s">
        <v>2808</v>
      </c>
      <c r="F621" s="47" t="s">
        <v>2809</v>
      </c>
      <c r="H621" s="21" t="s">
        <v>2810</v>
      </c>
    </row>
    <row r="622" spans="1:8" ht="16.5" customHeight="1">
      <c r="A622" s="42" t="str">
        <f t="shared" si="14"/>
        <v>C621</v>
      </c>
      <c r="B622" s="42" t="s">
        <v>2806</v>
      </c>
      <c r="C622" s="22" t="s">
        <v>671</v>
      </c>
      <c r="D622" s="42" t="s">
        <v>2811</v>
      </c>
      <c r="E622" s="42" t="s">
        <v>2733</v>
      </c>
      <c r="F622" s="49" t="s">
        <v>2812</v>
      </c>
      <c r="H622" s="21" t="s">
        <v>2813</v>
      </c>
    </row>
    <row r="623" spans="1:8" ht="16.5" customHeight="1">
      <c r="A623" s="42" t="str">
        <f t="shared" si="14"/>
        <v>C622</v>
      </c>
      <c r="B623" s="42" t="s">
        <v>2806</v>
      </c>
      <c r="C623" s="22" t="s">
        <v>2814</v>
      </c>
      <c r="D623" s="42" t="s">
        <v>2815</v>
      </c>
      <c r="E623" s="42" t="s">
        <v>2816</v>
      </c>
      <c r="F623" s="21" t="s">
        <v>2817</v>
      </c>
      <c r="H623" s="21" t="s">
        <v>2818</v>
      </c>
    </row>
    <row r="624" spans="1:8" ht="28.5" customHeight="1">
      <c r="A624" s="42" t="str">
        <f t="shared" si="14"/>
        <v>C623</v>
      </c>
      <c r="B624" s="42" t="s">
        <v>2819</v>
      </c>
      <c r="C624" s="22" t="s">
        <v>2330</v>
      </c>
      <c r="D624" s="42" t="s">
        <v>2820</v>
      </c>
      <c r="E624" s="42" t="s">
        <v>351</v>
      </c>
      <c r="F624" s="49" t="s">
        <v>2821</v>
      </c>
      <c r="H624" s="21" t="s">
        <v>2822</v>
      </c>
    </row>
    <row r="625" spans="1:9" ht="25.5" customHeight="1">
      <c r="A625" s="42" t="str">
        <f t="shared" si="14"/>
        <v>C624</v>
      </c>
      <c r="B625" s="42" t="s">
        <v>2819</v>
      </c>
      <c r="C625" s="22" t="s">
        <v>487</v>
      </c>
      <c r="D625" s="42" t="s">
        <v>2823</v>
      </c>
      <c r="E625" s="42" t="s">
        <v>1124</v>
      </c>
      <c r="G625" t="s">
        <v>2824</v>
      </c>
      <c r="H625" s="21" t="s">
        <v>2825</v>
      </c>
    </row>
    <row r="626" spans="1:9" ht="21" customHeight="1">
      <c r="A626" s="42" t="str">
        <f t="shared" si="14"/>
        <v>C625</v>
      </c>
      <c r="B626" s="42" t="s">
        <v>2826</v>
      </c>
      <c r="C626" s="22" t="s">
        <v>2340</v>
      </c>
      <c r="D626" s="42" t="s">
        <v>2827</v>
      </c>
      <c r="E626" s="42" t="s">
        <v>946</v>
      </c>
      <c r="F626" s="49" t="s">
        <v>2828</v>
      </c>
      <c r="H626" s="21" t="s">
        <v>2829</v>
      </c>
    </row>
    <row r="627" spans="1:9" ht="26.25" customHeight="1">
      <c r="A627" s="42" t="str">
        <f t="shared" si="14"/>
        <v>C626</v>
      </c>
      <c r="B627" s="42" t="s">
        <v>2826</v>
      </c>
      <c r="C627" s="22" t="s">
        <v>2830</v>
      </c>
      <c r="D627" s="42" t="s">
        <v>2831</v>
      </c>
      <c r="E627" s="42" t="s">
        <v>2832</v>
      </c>
      <c r="F627" s="49" t="s">
        <v>2833</v>
      </c>
      <c r="H627" s="21" t="s">
        <v>2834</v>
      </c>
    </row>
    <row r="628" spans="1:9" ht="27" customHeight="1">
      <c r="A628" s="42" t="str">
        <f t="shared" si="14"/>
        <v>C627</v>
      </c>
      <c r="B628" s="42" t="s">
        <v>2826</v>
      </c>
      <c r="C628" s="22" t="s">
        <v>2835</v>
      </c>
      <c r="D628" s="42" t="s">
        <v>2836</v>
      </c>
      <c r="E628" s="42" t="s">
        <v>173</v>
      </c>
      <c r="F628" s="49" t="s">
        <v>2837</v>
      </c>
      <c r="G628" t="s">
        <v>2838</v>
      </c>
      <c r="H628" s="21" t="s">
        <v>2839</v>
      </c>
    </row>
    <row r="629" spans="1:9" ht="31.5" customHeight="1">
      <c r="A629" s="42" t="str">
        <f t="shared" si="14"/>
        <v>C628</v>
      </c>
      <c r="B629" s="42" t="s">
        <v>2826</v>
      </c>
      <c r="C629" s="22" t="s">
        <v>2840</v>
      </c>
      <c r="D629" s="42" t="s">
        <v>2841</v>
      </c>
      <c r="E629" s="42" t="s">
        <v>2842</v>
      </c>
      <c r="F629" s="49" t="s">
        <v>2843</v>
      </c>
      <c r="G629" t="s">
        <v>2844</v>
      </c>
      <c r="H629" s="21" t="s">
        <v>2845</v>
      </c>
    </row>
    <row r="630" spans="1:9" ht="16.5" customHeight="1">
      <c r="A630" s="42" t="str">
        <f t="shared" si="14"/>
        <v>C629</v>
      </c>
      <c r="B630" s="42" t="s">
        <v>2846</v>
      </c>
      <c r="C630" s="22" t="s">
        <v>758</v>
      </c>
      <c r="D630" s="42" t="s">
        <v>2847</v>
      </c>
      <c r="E630" s="42" t="s">
        <v>62</v>
      </c>
      <c r="F630" s="49" t="s">
        <v>2848</v>
      </c>
      <c r="H630" s="21" t="s">
        <v>2849</v>
      </c>
    </row>
    <row r="631" spans="1:9" ht="16.5" customHeight="1">
      <c r="A631" s="42" t="str">
        <f t="shared" si="14"/>
        <v>C630</v>
      </c>
      <c r="B631" s="42" t="s">
        <v>2850</v>
      </c>
      <c r="C631" s="22" t="s">
        <v>2851</v>
      </c>
      <c r="D631" s="42" t="s">
        <v>2852</v>
      </c>
      <c r="E631" s="42" t="s">
        <v>173</v>
      </c>
      <c r="F631" s="21" t="s">
        <v>2853</v>
      </c>
      <c r="H631" s="21" t="s">
        <v>2854</v>
      </c>
    </row>
    <row r="632" spans="1:9" ht="16.5" customHeight="1">
      <c r="A632" s="42" t="str">
        <f t="shared" si="14"/>
        <v>C631</v>
      </c>
      <c r="B632" s="42" t="s">
        <v>2855</v>
      </c>
      <c r="C632" s="22" t="s">
        <v>2140</v>
      </c>
      <c r="D632" s="42" t="s">
        <v>2856</v>
      </c>
      <c r="E632" s="42" t="s">
        <v>2857</v>
      </c>
      <c r="F632" s="48" t="s">
        <v>2858</v>
      </c>
      <c r="G632" s="22" t="s">
        <v>2859</v>
      </c>
      <c r="H632" s="21" t="s">
        <v>2860</v>
      </c>
    </row>
    <row r="633" spans="1:9" ht="16.5" customHeight="1">
      <c r="A633" s="42" t="str">
        <f t="shared" si="14"/>
        <v>C632</v>
      </c>
      <c r="B633" s="42" t="s">
        <v>2855</v>
      </c>
      <c r="C633" s="22" t="s">
        <v>1678</v>
      </c>
      <c r="D633" s="42" t="s">
        <v>2861</v>
      </c>
      <c r="E633" s="42" t="s">
        <v>1775</v>
      </c>
      <c r="F633" s="48" t="s">
        <v>2862</v>
      </c>
      <c r="G633" t="s">
        <v>2863</v>
      </c>
      <c r="H633" s="21" t="s">
        <v>2864</v>
      </c>
    </row>
    <row r="634" spans="1:9" ht="16.5" customHeight="1">
      <c r="A634" s="42" t="str">
        <f t="shared" si="14"/>
        <v>C633</v>
      </c>
      <c r="B634" s="42" t="s">
        <v>2855</v>
      </c>
      <c r="C634" s="22" t="s">
        <v>2865</v>
      </c>
      <c r="D634" s="42" t="s">
        <v>2866</v>
      </c>
      <c r="E634" s="42" t="s">
        <v>1124</v>
      </c>
      <c r="F634" s="48" t="s">
        <v>2867</v>
      </c>
      <c r="G634" t="s">
        <v>2868</v>
      </c>
      <c r="H634" s="21" t="s">
        <v>2869</v>
      </c>
    </row>
    <row r="635" spans="1:9" ht="16.5" customHeight="1">
      <c r="A635" s="42" t="str">
        <f t="shared" si="14"/>
        <v>C634</v>
      </c>
      <c r="B635" s="42" t="s">
        <v>2855</v>
      </c>
      <c r="C635" s="22" t="s">
        <v>2870</v>
      </c>
      <c r="D635" s="42" t="s">
        <v>2871</v>
      </c>
      <c r="E635" s="42" t="s">
        <v>2872</v>
      </c>
      <c r="F635" s="48" t="s">
        <v>2873</v>
      </c>
      <c r="G635" t="s">
        <v>2874</v>
      </c>
      <c r="H635" s="21" t="s">
        <v>2875</v>
      </c>
    </row>
    <row r="636" spans="1:9" ht="16.5" customHeight="1">
      <c r="A636" s="42" t="str">
        <f t="shared" si="14"/>
        <v>C635</v>
      </c>
      <c r="B636" s="42" t="s">
        <v>2876</v>
      </c>
      <c r="C636" s="22" t="s">
        <v>2840</v>
      </c>
      <c r="D636" s="42" t="s">
        <v>2877</v>
      </c>
      <c r="E636" s="42" t="s">
        <v>188</v>
      </c>
      <c r="F636" s="49" t="s">
        <v>2878</v>
      </c>
      <c r="G636" t="s">
        <v>2879</v>
      </c>
      <c r="H636" s="21" t="s">
        <v>2880</v>
      </c>
      <c r="I636" s="22" t="s">
        <v>18</v>
      </c>
    </row>
    <row r="637" spans="1:9" ht="16.5" customHeight="1">
      <c r="A637" s="42" t="str">
        <f t="shared" si="14"/>
        <v>C636</v>
      </c>
      <c r="B637" s="42" t="s">
        <v>2876</v>
      </c>
      <c r="C637" s="22" t="s">
        <v>2709</v>
      </c>
      <c r="D637" s="42" t="s">
        <v>2881</v>
      </c>
      <c r="E637" s="42" t="s">
        <v>2882</v>
      </c>
      <c r="F637" s="48" t="s">
        <v>2883</v>
      </c>
      <c r="H637" s="21" t="s">
        <v>2884</v>
      </c>
    </row>
    <row r="638" spans="1:9" ht="22.5" customHeight="1">
      <c r="A638" s="42" t="str">
        <f t="shared" si="14"/>
        <v>C637</v>
      </c>
      <c r="B638" s="42" t="s">
        <v>2885</v>
      </c>
      <c r="C638" s="22" t="s">
        <v>2886</v>
      </c>
      <c r="D638" s="42" t="s">
        <v>2887</v>
      </c>
      <c r="E638" s="42" t="s">
        <v>62</v>
      </c>
      <c r="F638" s="49" t="s">
        <v>2888</v>
      </c>
      <c r="G638" t="s">
        <v>2889</v>
      </c>
      <c r="H638" s="21" t="s">
        <v>2890</v>
      </c>
      <c r="I638" s="22" t="s">
        <v>18</v>
      </c>
    </row>
    <row r="639" spans="1:9" ht="23.25" customHeight="1">
      <c r="A639" s="42" t="str">
        <f t="shared" si="14"/>
        <v>C638</v>
      </c>
      <c r="B639" s="42" t="s">
        <v>2885</v>
      </c>
      <c r="C639" s="22" t="s">
        <v>35</v>
      </c>
      <c r="D639" s="42" t="s">
        <v>2891</v>
      </c>
      <c r="E639" s="42" t="s">
        <v>1201</v>
      </c>
      <c r="F639" s="48" t="s">
        <v>2892</v>
      </c>
      <c r="G639" t="s">
        <v>2893</v>
      </c>
      <c r="H639" s="21" t="s">
        <v>2894</v>
      </c>
      <c r="I639" s="22" t="s">
        <v>18</v>
      </c>
    </row>
    <row r="640" spans="1:9" ht="16.5" customHeight="1">
      <c r="A640" s="42" t="str">
        <f t="shared" si="14"/>
        <v>C639</v>
      </c>
      <c r="B640" s="42" t="s">
        <v>2885</v>
      </c>
      <c r="C640" s="22" t="s">
        <v>689</v>
      </c>
      <c r="D640" s="42" t="s">
        <v>2895</v>
      </c>
      <c r="E640" s="42" t="s">
        <v>173</v>
      </c>
      <c r="F640" s="48" t="s">
        <v>2896</v>
      </c>
      <c r="H640" s="21" t="s">
        <v>2897</v>
      </c>
    </row>
    <row r="641" spans="1:13" ht="16.5" customHeight="1">
      <c r="A641" s="42" t="str">
        <f t="shared" si="14"/>
        <v>C640</v>
      </c>
      <c r="B641" s="42" t="s">
        <v>2898</v>
      </c>
      <c r="C641" s="22" t="s">
        <v>2334</v>
      </c>
      <c r="D641" s="42" t="s">
        <v>2899</v>
      </c>
      <c r="E641" s="42" t="s">
        <v>319</v>
      </c>
      <c r="F641" s="21" t="s">
        <v>2900</v>
      </c>
      <c r="H641" s="21" t="s">
        <v>2901</v>
      </c>
    </row>
    <row r="642" spans="1:13" ht="16.5" customHeight="1">
      <c r="A642" s="42" t="str">
        <f t="shared" si="14"/>
        <v>C641</v>
      </c>
      <c r="B642" s="42" t="s">
        <v>2902</v>
      </c>
      <c r="C642" s="22" t="s">
        <v>2218</v>
      </c>
      <c r="D642" s="42" t="s">
        <v>2903</v>
      </c>
      <c r="E642" s="42" t="s">
        <v>178</v>
      </c>
      <c r="H642" s="21" t="s">
        <v>2904</v>
      </c>
    </row>
    <row r="643" spans="1:13" ht="16.5" customHeight="1">
      <c r="A643" s="42" t="str">
        <f t="shared" si="14"/>
        <v>C642</v>
      </c>
      <c r="B643" s="42" t="s">
        <v>2905</v>
      </c>
      <c r="C643" s="22" t="s">
        <v>2906</v>
      </c>
      <c r="D643" s="42" t="s">
        <v>2907</v>
      </c>
      <c r="E643" s="42" t="s">
        <v>2758</v>
      </c>
      <c r="F643" s="48" t="s">
        <v>2908</v>
      </c>
      <c r="H643" s="21" t="s">
        <v>2909</v>
      </c>
    </row>
    <row r="644" spans="1:13" ht="16.5" customHeight="1">
      <c r="A644" s="42" t="str">
        <f t="shared" si="14"/>
        <v>C643</v>
      </c>
      <c r="B644" s="42" t="s">
        <v>2910</v>
      </c>
      <c r="C644" s="22" t="s">
        <v>2911</v>
      </c>
      <c r="D644" s="42" t="s">
        <v>2912</v>
      </c>
      <c r="E644" s="42" t="s">
        <v>62</v>
      </c>
      <c r="G644" t="s">
        <v>2913</v>
      </c>
      <c r="H644" s="21" t="s">
        <v>2914</v>
      </c>
    </row>
    <row r="645" spans="1:13" ht="16.5" customHeight="1">
      <c r="A645" s="42" t="str">
        <f t="shared" si="14"/>
        <v>C644</v>
      </c>
      <c r="B645" s="42" t="s">
        <v>2910</v>
      </c>
      <c r="C645" s="22" t="s">
        <v>2915</v>
      </c>
      <c r="D645" s="42" t="s">
        <v>2916</v>
      </c>
      <c r="E645" s="42" t="s">
        <v>2917</v>
      </c>
      <c r="F645" s="48" t="s">
        <v>2918</v>
      </c>
      <c r="H645" s="21" t="s">
        <v>2919</v>
      </c>
    </row>
    <row r="646" spans="1:13" ht="16.5" customHeight="1">
      <c r="A646" s="42" t="str">
        <f t="shared" si="14"/>
        <v>C645</v>
      </c>
      <c r="B646" s="42" t="s">
        <v>2920</v>
      </c>
      <c r="C646" s="22" t="s">
        <v>2921</v>
      </c>
      <c r="D646" s="42" t="s">
        <v>2922</v>
      </c>
      <c r="H646" s="21" t="s">
        <v>2923</v>
      </c>
    </row>
    <row r="647" spans="1:13" ht="24" customHeight="1">
      <c r="A647" s="42" t="str">
        <f t="shared" si="14"/>
        <v>C646</v>
      </c>
      <c r="B647" s="42" t="s">
        <v>2920</v>
      </c>
      <c r="C647" s="22" t="s">
        <v>166</v>
      </c>
      <c r="D647" s="42" t="s">
        <v>2924</v>
      </c>
      <c r="H647" s="21" t="s">
        <v>2925</v>
      </c>
    </row>
    <row r="648" spans="1:13" ht="16.5" customHeight="1">
      <c r="A648" s="42" t="str">
        <f t="shared" si="14"/>
        <v>C647</v>
      </c>
      <c r="B648" s="42" t="s">
        <v>2926</v>
      </c>
      <c r="C648" s="22" t="s">
        <v>2927</v>
      </c>
      <c r="D648" s="42" t="s">
        <v>2928</v>
      </c>
      <c r="E648" s="42" t="s">
        <v>2929</v>
      </c>
      <c r="H648" s="21" t="s">
        <v>2930</v>
      </c>
    </row>
    <row r="649" spans="1:13" ht="30.75" customHeight="1">
      <c r="A649" s="42" t="str">
        <f t="shared" si="14"/>
        <v>C648</v>
      </c>
      <c r="B649" s="42" t="s">
        <v>2931</v>
      </c>
      <c r="C649" s="22" t="s">
        <v>476</v>
      </c>
      <c r="D649" s="42" t="s">
        <v>2932</v>
      </c>
      <c r="E649" s="42" t="s">
        <v>2933</v>
      </c>
      <c r="F649" s="47" t="s">
        <v>2934</v>
      </c>
      <c r="H649" s="21" t="s">
        <v>2935</v>
      </c>
    </row>
    <row r="650" spans="1:13" ht="16.5" customHeight="1">
      <c r="A650" s="42" t="str">
        <f t="shared" si="14"/>
        <v>C649</v>
      </c>
      <c r="B650" s="42" t="s">
        <v>2936</v>
      </c>
      <c r="C650" s="22" t="s">
        <v>2419</v>
      </c>
      <c r="D650" s="42" t="s">
        <v>2937</v>
      </c>
      <c r="E650" s="42" t="s">
        <v>2938</v>
      </c>
      <c r="F650" s="48" t="s">
        <v>2939</v>
      </c>
      <c r="H650" s="21" t="s">
        <v>2940</v>
      </c>
      <c r="I650" s="22" t="s">
        <v>18</v>
      </c>
    </row>
    <row r="651" spans="1:13" ht="47.25" customHeight="1">
      <c r="A651" s="42" t="str">
        <f t="shared" si="14"/>
        <v>C650</v>
      </c>
      <c r="B651" s="42" t="s">
        <v>2941</v>
      </c>
      <c r="C651" s="22" t="s">
        <v>2942</v>
      </c>
      <c r="D651" s="42" t="s">
        <v>2943</v>
      </c>
      <c r="E651" s="42" t="s">
        <v>188</v>
      </c>
      <c r="F651" s="50" t="s">
        <v>2944</v>
      </c>
      <c r="H651" s="21" t="s">
        <v>2945</v>
      </c>
      <c r="I651" s="22" t="s">
        <v>18</v>
      </c>
      <c r="J651" s="42">
        <v>2</v>
      </c>
    </row>
    <row r="652" spans="1:13" ht="16.5" customHeight="1">
      <c r="A652" s="42" t="str">
        <f t="shared" si="14"/>
        <v>C651</v>
      </c>
      <c r="B652" s="42" t="s">
        <v>2941</v>
      </c>
      <c r="C652" s="22" t="s">
        <v>2946</v>
      </c>
      <c r="D652" s="42" t="s">
        <v>2947</v>
      </c>
      <c r="E652" s="42" t="s">
        <v>2948</v>
      </c>
      <c r="H652" s="21" t="s">
        <v>2949</v>
      </c>
      <c r="I652" s="22" t="s">
        <v>18</v>
      </c>
    </row>
    <row r="653" spans="1:13" ht="16.5" customHeight="1">
      <c r="A653" s="42" t="str">
        <f t="shared" si="14"/>
        <v>C652</v>
      </c>
      <c r="B653" s="42" t="s">
        <v>2950</v>
      </c>
      <c r="C653" s="22" t="s">
        <v>2951</v>
      </c>
      <c r="D653" s="42" t="s">
        <v>2952</v>
      </c>
      <c r="E653" s="42" t="s">
        <v>2953</v>
      </c>
      <c r="G653" t="s">
        <v>2954</v>
      </c>
      <c r="H653" s="21" t="s">
        <v>2955</v>
      </c>
      <c r="I653" s="22" t="s">
        <v>18</v>
      </c>
      <c r="J653" s="42">
        <v>1</v>
      </c>
    </row>
    <row r="654" spans="1:13" ht="16.5" customHeight="1">
      <c r="A654" s="42" t="str">
        <f t="shared" si="14"/>
        <v>C653</v>
      </c>
      <c r="B654" s="42" t="s">
        <v>2950</v>
      </c>
      <c r="C654" s="22" t="s">
        <v>2956</v>
      </c>
      <c r="D654" s="42" t="s">
        <v>2957</v>
      </c>
      <c r="E654" s="42" t="s">
        <v>2958</v>
      </c>
      <c r="F654" s="48" t="s">
        <v>2959</v>
      </c>
      <c r="H654" s="21" t="s">
        <v>2960</v>
      </c>
      <c r="I654" s="22" t="s">
        <v>18</v>
      </c>
      <c r="J654" s="42">
        <v>1</v>
      </c>
    </row>
    <row r="655" spans="1:13" ht="16.5" customHeight="1">
      <c r="A655" s="55" t="str">
        <f t="shared" si="14"/>
        <v>C654</v>
      </c>
      <c r="B655" s="55" t="s">
        <v>2950</v>
      </c>
      <c r="C655" s="56" t="s">
        <v>2961</v>
      </c>
      <c r="D655" s="55" t="s">
        <v>2962</v>
      </c>
      <c r="E655" s="55" t="s">
        <v>224</v>
      </c>
      <c r="F655" s="80" t="s">
        <v>2963</v>
      </c>
      <c r="G655" s="57" t="s">
        <v>2964</v>
      </c>
      <c r="H655" s="72" t="s">
        <v>2965</v>
      </c>
      <c r="I655" s="56" t="s">
        <v>18</v>
      </c>
      <c r="J655" s="55">
        <v>1</v>
      </c>
      <c r="M655" t="s">
        <v>2966</v>
      </c>
    </row>
    <row r="656" spans="1:13" ht="16.5" customHeight="1">
      <c r="A656" s="42" t="str">
        <f t="shared" si="14"/>
        <v>C655</v>
      </c>
      <c r="B656" s="42" t="s">
        <v>2950</v>
      </c>
      <c r="C656" s="22" t="s">
        <v>2967</v>
      </c>
      <c r="D656" s="42" t="s">
        <v>2968</v>
      </c>
      <c r="E656" s="42" t="s">
        <v>1119</v>
      </c>
      <c r="F656" s="48" t="s">
        <v>2969</v>
      </c>
      <c r="H656" s="21" t="s">
        <v>2970</v>
      </c>
      <c r="I656" s="22" t="s">
        <v>18</v>
      </c>
      <c r="J656" s="22">
        <v>2</v>
      </c>
    </row>
    <row r="657" spans="1:13" ht="16.5" customHeight="1">
      <c r="A657" s="42" t="str">
        <f t="shared" si="14"/>
        <v>C656</v>
      </c>
      <c r="B657" s="42" t="s">
        <v>2971</v>
      </c>
      <c r="C657" s="22" t="s">
        <v>2972</v>
      </c>
      <c r="D657" s="42" t="s">
        <v>2973</v>
      </c>
      <c r="E657" s="42" t="s">
        <v>2974</v>
      </c>
      <c r="F657" s="48" t="s">
        <v>2975</v>
      </c>
      <c r="I657" s="22" t="s">
        <v>18</v>
      </c>
      <c r="J657" s="42">
        <v>1</v>
      </c>
    </row>
    <row r="658" spans="1:13" ht="16.5" customHeight="1">
      <c r="A658" s="42" t="str">
        <f t="shared" si="14"/>
        <v>C657</v>
      </c>
      <c r="B658" s="42" t="s">
        <v>2971</v>
      </c>
      <c r="C658" s="22" t="s">
        <v>2976</v>
      </c>
      <c r="D658" s="42" t="s">
        <v>2977</v>
      </c>
      <c r="E658" s="42" t="s">
        <v>2978</v>
      </c>
      <c r="F658" s="48" t="s">
        <v>2979</v>
      </c>
      <c r="G658" t="s">
        <v>2980</v>
      </c>
      <c r="H658" s="21" t="s">
        <v>2981</v>
      </c>
      <c r="I658" s="22" t="s">
        <v>18</v>
      </c>
      <c r="J658" s="42">
        <v>1</v>
      </c>
    </row>
    <row r="659" spans="1:13" ht="16.5" customHeight="1">
      <c r="A659" s="42" t="str">
        <f t="shared" si="14"/>
        <v>C658</v>
      </c>
      <c r="B659" s="42" t="s">
        <v>2971</v>
      </c>
      <c r="C659" s="22" t="s">
        <v>2982</v>
      </c>
      <c r="D659" s="42" t="s">
        <v>2983</v>
      </c>
      <c r="E659" s="42" t="s">
        <v>716</v>
      </c>
      <c r="F659" s="48" t="s">
        <v>2984</v>
      </c>
      <c r="H659" s="21" t="s">
        <v>2985</v>
      </c>
      <c r="I659" s="70" t="s">
        <v>18</v>
      </c>
      <c r="J659" s="42">
        <v>2</v>
      </c>
    </row>
    <row r="660" spans="1:13" ht="16.5" customHeight="1">
      <c r="A660" s="42" t="str">
        <f t="shared" si="14"/>
        <v>C659</v>
      </c>
      <c r="B660" s="42" t="s">
        <v>2986</v>
      </c>
      <c r="C660" s="22" t="s">
        <v>317</v>
      </c>
      <c r="D660" s="42" t="s">
        <v>2987</v>
      </c>
      <c r="E660" s="42" t="s">
        <v>946</v>
      </c>
      <c r="F660" s="48" t="s">
        <v>2988</v>
      </c>
      <c r="H660" s="21" t="s">
        <v>2989</v>
      </c>
      <c r="I660" s="22" t="s">
        <v>18</v>
      </c>
      <c r="J660" s="42">
        <v>1</v>
      </c>
    </row>
    <row r="661" spans="1:13" ht="16.5" customHeight="1">
      <c r="A661" s="42" t="str">
        <f t="shared" si="14"/>
        <v>C660</v>
      </c>
      <c r="B661" s="42" t="s">
        <v>2986</v>
      </c>
      <c r="C661" s="22" t="s">
        <v>1825</v>
      </c>
      <c r="D661" s="42" t="s">
        <v>2990</v>
      </c>
      <c r="E661" s="42" t="s">
        <v>2991</v>
      </c>
      <c r="F661" s="49" t="s">
        <v>2992</v>
      </c>
      <c r="H661" s="21" t="s">
        <v>2993</v>
      </c>
      <c r="I661" s="22" t="s">
        <v>18</v>
      </c>
      <c r="J661" s="42">
        <v>1</v>
      </c>
    </row>
    <row r="662" spans="1:13" ht="16.5" customHeight="1">
      <c r="A662" s="42" t="str">
        <f t="shared" si="14"/>
        <v>C661</v>
      </c>
      <c r="B662" s="42" t="s">
        <v>2994</v>
      </c>
      <c r="C662" s="22" t="s">
        <v>2995</v>
      </c>
      <c r="D662" s="42" t="s">
        <v>2996</v>
      </c>
      <c r="E662" s="42" t="s">
        <v>2997</v>
      </c>
      <c r="G662" t="s">
        <v>2998</v>
      </c>
      <c r="H662" s="21" t="s">
        <v>2999</v>
      </c>
      <c r="I662" s="22" t="s">
        <v>18</v>
      </c>
      <c r="J662">
        <v>2</v>
      </c>
    </row>
    <row r="663" spans="1:13" ht="16.5" customHeight="1">
      <c r="A663" s="42" t="str">
        <f t="shared" si="14"/>
        <v>C662</v>
      </c>
      <c r="B663" s="42" t="s">
        <v>2994</v>
      </c>
      <c r="C663" s="22" t="s">
        <v>2419</v>
      </c>
      <c r="D663" s="42" t="s">
        <v>3000</v>
      </c>
      <c r="E663" s="42" t="s">
        <v>426</v>
      </c>
      <c r="G663" t="s">
        <v>3001</v>
      </c>
      <c r="H663" s="21" t="s">
        <v>3002</v>
      </c>
      <c r="I663" s="22" t="s">
        <v>18</v>
      </c>
      <c r="J663" s="42">
        <v>1</v>
      </c>
    </row>
    <row r="664" spans="1:13" ht="16.5" customHeight="1">
      <c r="A664" s="42" t="str">
        <f t="shared" si="14"/>
        <v>C663</v>
      </c>
      <c r="B664" s="42" t="s">
        <v>2994</v>
      </c>
      <c r="C664" s="22" t="s">
        <v>3003</v>
      </c>
      <c r="D664" s="42" t="s">
        <v>3004</v>
      </c>
      <c r="E664" s="42" t="s">
        <v>918</v>
      </c>
      <c r="G664" s="22" t="s">
        <v>3005</v>
      </c>
      <c r="H664" s="21" t="s">
        <v>3006</v>
      </c>
      <c r="I664" s="22" t="s">
        <v>18</v>
      </c>
      <c r="J664" s="42">
        <v>2</v>
      </c>
    </row>
    <row r="665" spans="1:13" ht="16.5" customHeight="1">
      <c r="A665" s="42" t="str">
        <f t="shared" si="14"/>
        <v>C664</v>
      </c>
      <c r="B665" s="42" t="s">
        <v>2994</v>
      </c>
      <c r="C665" s="22" t="s">
        <v>2334</v>
      </c>
      <c r="F665" s="52" t="s">
        <v>3007</v>
      </c>
      <c r="I665" s="22" t="s">
        <v>18</v>
      </c>
    </row>
    <row r="666" spans="1:13" ht="30" customHeight="1">
      <c r="A666" s="42" t="str">
        <f t="shared" ref="A666:A729" si="15">_xlfn.CONCAT("C",TEXT(ROW()-1,"000"))</f>
        <v>C665</v>
      </c>
      <c r="B666" s="42" t="s">
        <v>3008</v>
      </c>
      <c r="C666" s="22" t="s">
        <v>403</v>
      </c>
      <c r="D666" s="42" t="s">
        <v>3009</v>
      </c>
      <c r="E666" s="42" t="s">
        <v>1349</v>
      </c>
      <c r="G666" t="s">
        <v>3010</v>
      </c>
      <c r="H666" s="21" t="s">
        <v>3011</v>
      </c>
      <c r="I666" s="22" t="s">
        <v>18</v>
      </c>
      <c r="J666" s="42">
        <v>2</v>
      </c>
    </row>
    <row r="667" spans="1:13" ht="16.5" customHeight="1">
      <c r="A667" s="42" t="str">
        <f t="shared" si="15"/>
        <v>C666</v>
      </c>
      <c r="B667" s="42" t="s">
        <v>3012</v>
      </c>
      <c r="C667" s="22" t="s">
        <v>3013</v>
      </c>
      <c r="D667" s="42" t="s">
        <v>3014</v>
      </c>
      <c r="E667" s="42" t="s">
        <v>126</v>
      </c>
      <c r="F667" s="48" t="s">
        <v>3015</v>
      </c>
      <c r="G667" t="s">
        <v>3016</v>
      </c>
      <c r="H667" s="21" t="s">
        <v>3017</v>
      </c>
      <c r="I667" s="22" t="s">
        <v>18</v>
      </c>
      <c r="J667" s="42">
        <v>2</v>
      </c>
      <c r="M667" s="20" t="s">
        <v>3018</v>
      </c>
    </row>
    <row r="668" spans="1:13" ht="16.5" customHeight="1">
      <c r="A668" s="42" t="str">
        <f t="shared" si="15"/>
        <v>C667</v>
      </c>
      <c r="B668" s="42" t="s">
        <v>3012</v>
      </c>
      <c r="C668" s="22" t="s">
        <v>1064</v>
      </c>
      <c r="D668" s="42" t="s">
        <v>3019</v>
      </c>
      <c r="E668" s="42" t="s">
        <v>819</v>
      </c>
      <c r="F668" s="48" t="s">
        <v>3020</v>
      </c>
      <c r="G668" s="22" t="s">
        <v>3021</v>
      </c>
      <c r="H668" s="21" t="s">
        <v>3022</v>
      </c>
    </row>
    <row r="669" spans="1:13" ht="24.75" customHeight="1">
      <c r="A669" s="42" t="str">
        <f t="shared" si="15"/>
        <v>C668</v>
      </c>
      <c r="B669" s="42" t="s">
        <v>3023</v>
      </c>
      <c r="C669" s="22" t="s">
        <v>2129</v>
      </c>
      <c r="D669" s="42" t="s">
        <v>3024</v>
      </c>
      <c r="E669" s="42" t="s">
        <v>3025</v>
      </c>
      <c r="F669" s="21" t="s">
        <v>3026</v>
      </c>
      <c r="G669" t="s">
        <v>3027</v>
      </c>
      <c r="H669" s="21" t="s">
        <v>3028</v>
      </c>
    </row>
    <row r="670" spans="1:13" ht="16.5" customHeight="1">
      <c r="A670" s="42" t="str">
        <f t="shared" si="15"/>
        <v>C669</v>
      </c>
      <c r="B670" s="42" t="s">
        <v>3023</v>
      </c>
      <c r="C670" s="22" t="s">
        <v>3029</v>
      </c>
      <c r="D670" s="42" t="s">
        <v>3030</v>
      </c>
      <c r="E670" s="42" t="s">
        <v>3031</v>
      </c>
      <c r="H670" s="21" t="s">
        <v>3032</v>
      </c>
    </row>
    <row r="671" spans="1:13" ht="16.5" customHeight="1">
      <c r="A671" s="42" t="str">
        <f t="shared" si="15"/>
        <v>C670</v>
      </c>
      <c r="B671" s="42" t="s">
        <v>3023</v>
      </c>
      <c r="C671" s="22" t="s">
        <v>3033</v>
      </c>
      <c r="D671" s="42" t="s">
        <v>3034</v>
      </c>
      <c r="E671" s="42" t="s">
        <v>168</v>
      </c>
      <c r="F671" s="21" t="s">
        <v>3035</v>
      </c>
      <c r="G671" t="s">
        <v>3036</v>
      </c>
      <c r="H671" s="21" t="s">
        <v>3037</v>
      </c>
      <c r="I671" s="22" t="s">
        <v>18</v>
      </c>
    </row>
    <row r="672" spans="1:13" ht="16.5" customHeight="1">
      <c r="A672" s="42" t="str">
        <f t="shared" si="15"/>
        <v>C671</v>
      </c>
      <c r="B672" s="42" t="s">
        <v>3023</v>
      </c>
      <c r="C672" s="22" t="s">
        <v>3038</v>
      </c>
      <c r="D672" s="42" t="s">
        <v>3039</v>
      </c>
      <c r="E672" s="42" t="s">
        <v>1021</v>
      </c>
      <c r="F672" s="21" t="s">
        <v>3040</v>
      </c>
      <c r="H672" s="21" t="s">
        <v>3041</v>
      </c>
    </row>
    <row r="673" spans="1:9" ht="16.5" customHeight="1">
      <c r="A673" s="42" t="str">
        <f t="shared" si="15"/>
        <v>C672</v>
      </c>
      <c r="B673" s="42" t="s">
        <v>3042</v>
      </c>
      <c r="C673" s="22" t="s">
        <v>2617</v>
      </c>
      <c r="D673" s="42" t="s">
        <v>3043</v>
      </c>
      <c r="E673" s="42" t="s">
        <v>3044</v>
      </c>
      <c r="F673" s="21" t="s">
        <v>3045</v>
      </c>
      <c r="G673" t="s">
        <v>3046</v>
      </c>
      <c r="H673" s="21" t="s">
        <v>3047</v>
      </c>
    </row>
    <row r="674" spans="1:9" ht="16.5" customHeight="1">
      <c r="A674" s="42" t="str">
        <f t="shared" si="15"/>
        <v>C673</v>
      </c>
      <c r="B674" s="42" t="s">
        <v>3042</v>
      </c>
      <c r="C674" s="22" t="s">
        <v>3048</v>
      </c>
      <c r="D674" s="42" t="s">
        <v>3049</v>
      </c>
      <c r="E674" s="42" t="s">
        <v>178</v>
      </c>
      <c r="G674" t="s">
        <v>3050</v>
      </c>
      <c r="H674" s="21" t="s">
        <v>3051</v>
      </c>
    </row>
    <row r="675" spans="1:9" ht="16.5" customHeight="1">
      <c r="A675" s="42" t="str">
        <f t="shared" si="15"/>
        <v>C674</v>
      </c>
      <c r="B675" s="42" t="s">
        <v>3052</v>
      </c>
      <c r="C675" s="22" t="s">
        <v>2208</v>
      </c>
      <c r="D675" s="42" t="s">
        <v>3053</v>
      </c>
      <c r="E675" s="42" t="s">
        <v>62</v>
      </c>
      <c r="G675" t="s">
        <v>3054</v>
      </c>
      <c r="H675" s="21" t="s">
        <v>3055</v>
      </c>
    </row>
    <row r="676" spans="1:9" ht="16.5" customHeight="1">
      <c r="A676" s="42" t="str">
        <f t="shared" si="15"/>
        <v>C675</v>
      </c>
      <c r="B676" s="42" t="s">
        <v>3052</v>
      </c>
      <c r="C676" s="22" t="s">
        <v>3056</v>
      </c>
      <c r="D676" s="42" t="s">
        <v>3057</v>
      </c>
      <c r="E676" s="42" t="s">
        <v>3058</v>
      </c>
      <c r="F676" s="21" t="s">
        <v>3059</v>
      </c>
      <c r="G676" t="s">
        <v>3060</v>
      </c>
      <c r="H676" s="21" t="s">
        <v>3061</v>
      </c>
    </row>
    <row r="677" spans="1:9" ht="16.5" customHeight="1">
      <c r="A677" s="42" t="str">
        <f t="shared" si="15"/>
        <v>C676</v>
      </c>
      <c r="B677" s="42" t="s">
        <v>3062</v>
      </c>
      <c r="C677" s="22" t="s">
        <v>3063</v>
      </c>
      <c r="D677" s="42" t="s">
        <v>3064</v>
      </c>
      <c r="E677" s="42" t="s">
        <v>62</v>
      </c>
      <c r="F677" s="48" t="s">
        <v>3065</v>
      </c>
      <c r="G677" t="s">
        <v>3066</v>
      </c>
      <c r="H677" s="21" t="s">
        <v>3067</v>
      </c>
      <c r="I677" s="22" t="s">
        <v>18</v>
      </c>
    </row>
    <row r="678" spans="1:9" ht="16.5" customHeight="1">
      <c r="A678" s="42" t="str">
        <f t="shared" si="15"/>
        <v>C677</v>
      </c>
      <c r="B678" s="42" t="s">
        <v>3062</v>
      </c>
      <c r="C678" s="22" t="s">
        <v>1715</v>
      </c>
      <c r="D678" s="42" t="s">
        <v>3068</v>
      </c>
      <c r="E678" s="42" t="s">
        <v>3069</v>
      </c>
      <c r="G678" t="s">
        <v>3070</v>
      </c>
      <c r="H678" s="22" t="s">
        <v>3071</v>
      </c>
      <c r="I678" s="22" t="s">
        <v>18</v>
      </c>
    </row>
    <row r="679" spans="1:9" ht="39" customHeight="1">
      <c r="A679" s="42" t="str">
        <f t="shared" si="15"/>
        <v>C678</v>
      </c>
      <c r="B679" s="42" t="s">
        <v>3072</v>
      </c>
      <c r="C679" s="22" t="s">
        <v>1678</v>
      </c>
      <c r="D679" s="42" t="s">
        <v>3073</v>
      </c>
      <c r="E679" s="42" t="s">
        <v>1021</v>
      </c>
      <c r="G679" t="s">
        <v>3074</v>
      </c>
      <c r="H679" s="21" t="s">
        <v>3075</v>
      </c>
      <c r="I679" s="22" t="s">
        <v>18</v>
      </c>
    </row>
    <row r="680" spans="1:9" ht="16.5" customHeight="1">
      <c r="A680" s="42" t="str">
        <f t="shared" si="15"/>
        <v>C679</v>
      </c>
      <c r="B680" s="42" t="s">
        <v>3076</v>
      </c>
      <c r="C680" s="22" t="s">
        <v>3077</v>
      </c>
      <c r="D680" s="42" t="s">
        <v>3078</v>
      </c>
      <c r="E680" s="42" t="s">
        <v>2794</v>
      </c>
      <c r="G680" t="s">
        <v>3079</v>
      </c>
      <c r="H680" s="21" t="s">
        <v>3080</v>
      </c>
      <c r="I680" s="22" t="s">
        <v>18</v>
      </c>
    </row>
    <row r="681" spans="1:9" ht="16.5" customHeight="1">
      <c r="A681" s="42" t="str">
        <f t="shared" si="15"/>
        <v>C680</v>
      </c>
      <c r="B681" s="42" t="s">
        <v>3081</v>
      </c>
      <c r="C681" s="22" t="s">
        <v>3082</v>
      </c>
      <c r="D681" s="42" t="s">
        <v>3083</v>
      </c>
      <c r="E681" s="42" t="s">
        <v>62</v>
      </c>
      <c r="F681" s="21" t="s">
        <v>3084</v>
      </c>
      <c r="G681" t="s">
        <v>3085</v>
      </c>
      <c r="H681" s="21" t="s">
        <v>3086</v>
      </c>
      <c r="I681" s="22" t="s">
        <v>18</v>
      </c>
    </row>
    <row r="682" spans="1:9" ht="16.5" customHeight="1">
      <c r="A682" s="42" t="str">
        <f t="shared" si="15"/>
        <v>C681</v>
      </c>
      <c r="B682" s="42" t="s">
        <v>3087</v>
      </c>
      <c r="C682" s="22" t="s">
        <v>800</v>
      </c>
      <c r="D682" s="42" t="s">
        <v>3088</v>
      </c>
      <c r="E682" s="42" t="s">
        <v>3089</v>
      </c>
      <c r="F682" s="21" t="s">
        <v>3090</v>
      </c>
      <c r="G682" t="s">
        <v>3091</v>
      </c>
      <c r="H682" s="21" t="s">
        <v>3092</v>
      </c>
      <c r="I682" s="22" t="s">
        <v>18</v>
      </c>
    </row>
    <row r="683" spans="1:9" ht="16.5" customHeight="1">
      <c r="A683" s="42" t="str">
        <f t="shared" si="15"/>
        <v>C682</v>
      </c>
      <c r="B683" s="42" t="s">
        <v>2751</v>
      </c>
      <c r="C683" s="22" t="s">
        <v>1744</v>
      </c>
      <c r="D683" s="42" t="s">
        <v>3093</v>
      </c>
      <c r="E683" s="42" t="s">
        <v>3094</v>
      </c>
      <c r="F683" s="48" t="s">
        <v>3095</v>
      </c>
      <c r="G683" t="s">
        <v>3096</v>
      </c>
      <c r="H683" s="21" t="s">
        <v>3097</v>
      </c>
      <c r="I683" s="22" t="s">
        <v>18</v>
      </c>
    </row>
    <row r="684" spans="1:9" ht="16.5" customHeight="1">
      <c r="A684" s="42" t="str">
        <f t="shared" si="15"/>
        <v>C683</v>
      </c>
      <c r="B684" s="42" t="s">
        <v>3098</v>
      </c>
      <c r="C684" s="22" t="s">
        <v>3099</v>
      </c>
      <c r="D684" s="42" t="s">
        <v>3100</v>
      </c>
      <c r="E684" s="42" t="s">
        <v>3058</v>
      </c>
      <c r="G684" s="75" t="s">
        <v>3101</v>
      </c>
      <c r="H684" s="21" t="s">
        <v>3102</v>
      </c>
      <c r="I684" s="22" t="s">
        <v>18</v>
      </c>
    </row>
    <row r="685" spans="1:9" ht="16.5" customHeight="1">
      <c r="A685" s="42" t="str">
        <f t="shared" si="15"/>
        <v>C684</v>
      </c>
      <c r="B685" s="42" t="s">
        <v>3103</v>
      </c>
      <c r="C685" s="22" t="s">
        <v>547</v>
      </c>
      <c r="D685" s="42" t="s">
        <v>3104</v>
      </c>
      <c r="E685" s="42" t="s">
        <v>3105</v>
      </c>
      <c r="G685" t="s">
        <v>3106</v>
      </c>
      <c r="H685" s="21" t="s">
        <v>3107</v>
      </c>
    </row>
    <row r="686" spans="1:9" ht="16.5" customHeight="1">
      <c r="A686" s="42" t="str">
        <f t="shared" si="15"/>
        <v>C685</v>
      </c>
      <c r="B686" s="42" t="s">
        <v>3103</v>
      </c>
      <c r="C686" s="22" t="s">
        <v>1829</v>
      </c>
      <c r="D686" s="42" t="s">
        <v>3108</v>
      </c>
      <c r="E686" s="42" t="s">
        <v>3109</v>
      </c>
      <c r="F686" s="21" t="s">
        <v>3110</v>
      </c>
      <c r="G686" s="20" t="s">
        <v>3111</v>
      </c>
      <c r="H686" s="21" t="s">
        <v>3112</v>
      </c>
    </row>
    <row r="687" spans="1:9" ht="16.5" customHeight="1">
      <c r="A687" s="42" t="str">
        <f t="shared" si="15"/>
        <v>C686</v>
      </c>
      <c r="B687" s="42" t="s">
        <v>3113</v>
      </c>
      <c r="C687" s="22" t="s">
        <v>3114</v>
      </c>
    </row>
    <row r="688" spans="1:9" ht="16.5" customHeight="1">
      <c r="A688" s="42" t="str">
        <f t="shared" si="15"/>
        <v>C687</v>
      </c>
      <c r="B688" s="42" t="s">
        <v>3115</v>
      </c>
      <c r="C688" s="22" t="s">
        <v>2218</v>
      </c>
      <c r="D688" s="42" t="s">
        <v>3116</v>
      </c>
      <c r="E688" s="42" t="s">
        <v>1021</v>
      </c>
      <c r="F688" s="21" t="s">
        <v>3117</v>
      </c>
      <c r="H688" s="21" t="s">
        <v>3118</v>
      </c>
    </row>
    <row r="689" spans="1:10" ht="16.5" customHeight="1">
      <c r="A689" s="42" t="str">
        <f t="shared" si="15"/>
        <v>C688</v>
      </c>
      <c r="B689" s="42" t="s">
        <v>3115</v>
      </c>
      <c r="C689" s="22" t="s">
        <v>1835</v>
      </c>
      <c r="D689" s="42" t="s">
        <v>3119</v>
      </c>
      <c r="E689" s="42" t="s">
        <v>493</v>
      </c>
      <c r="F689" s="48" t="s">
        <v>3120</v>
      </c>
      <c r="G689" t="s">
        <v>3121</v>
      </c>
      <c r="H689" s="21" t="s">
        <v>3122</v>
      </c>
    </row>
    <row r="690" spans="1:10" ht="16.5" customHeight="1">
      <c r="A690" s="42" t="str">
        <f t="shared" si="15"/>
        <v>C689</v>
      </c>
      <c r="B690" s="42" t="s">
        <v>3115</v>
      </c>
      <c r="C690" s="22" t="s">
        <v>3123</v>
      </c>
      <c r="D690" s="42" t="s">
        <v>3124</v>
      </c>
      <c r="E690" s="42" t="s">
        <v>2412</v>
      </c>
      <c r="H690" s="21" t="s">
        <v>3125</v>
      </c>
    </row>
    <row r="691" spans="1:10" ht="25.5" customHeight="1">
      <c r="A691" s="42" t="str">
        <f t="shared" si="15"/>
        <v>C690</v>
      </c>
      <c r="B691" s="42" t="s">
        <v>3126</v>
      </c>
      <c r="C691" s="22" t="s">
        <v>3127</v>
      </c>
      <c r="D691" s="42" t="s">
        <v>3128</v>
      </c>
      <c r="E691" s="42" t="s">
        <v>347</v>
      </c>
      <c r="F691" s="48" t="s">
        <v>3129</v>
      </c>
      <c r="H691" s="21" t="s">
        <v>3130</v>
      </c>
    </row>
    <row r="692" spans="1:10" ht="16.5" customHeight="1">
      <c r="A692" s="42" t="str">
        <f t="shared" si="15"/>
        <v>C691</v>
      </c>
      <c r="B692" s="42" t="s">
        <v>3126</v>
      </c>
      <c r="C692" s="22" t="s">
        <v>3131</v>
      </c>
      <c r="D692" s="42" t="s">
        <v>3132</v>
      </c>
      <c r="E692" s="42" t="s">
        <v>2269</v>
      </c>
      <c r="F692" s="48" t="s">
        <v>3133</v>
      </c>
      <c r="G692" t="s">
        <v>3134</v>
      </c>
      <c r="H692" s="21" t="s">
        <v>3135</v>
      </c>
    </row>
    <row r="693" spans="1:10" ht="16.5" customHeight="1">
      <c r="A693" s="42" t="str">
        <f t="shared" si="15"/>
        <v>C692</v>
      </c>
      <c r="B693" s="42" t="s">
        <v>3136</v>
      </c>
      <c r="C693" s="22" t="s">
        <v>2334</v>
      </c>
      <c r="D693" s="42" t="s">
        <v>3137</v>
      </c>
      <c r="E693" s="42" t="s">
        <v>3138</v>
      </c>
      <c r="H693" s="21" t="s">
        <v>3139</v>
      </c>
    </row>
    <row r="694" spans="1:10" ht="22.5" customHeight="1">
      <c r="A694" s="42" t="str">
        <f t="shared" si="15"/>
        <v>C693</v>
      </c>
      <c r="B694" s="42" t="s">
        <v>3136</v>
      </c>
      <c r="C694" s="22" t="s">
        <v>3140</v>
      </c>
      <c r="D694" s="42" t="s">
        <v>3141</v>
      </c>
      <c r="E694" s="22" t="s">
        <v>3142</v>
      </c>
      <c r="F694" s="21" t="s">
        <v>3143</v>
      </c>
      <c r="G694" t="s">
        <v>3144</v>
      </c>
      <c r="H694" s="21" t="s">
        <v>3145</v>
      </c>
    </row>
    <row r="695" spans="1:10" ht="24.75" customHeight="1">
      <c r="A695" s="42" t="str">
        <f t="shared" si="15"/>
        <v>C694</v>
      </c>
      <c r="B695" s="42" t="s">
        <v>3136</v>
      </c>
      <c r="C695" s="22" t="s">
        <v>3146</v>
      </c>
      <c r="D695" s="42" t="s">
        <v>3147</v>
      </c>
      <c r="E695" s="42" t="s">
        <v>1379</v>
      </c>
      <c r="H695" s="21" t="s">
        <v>3148</v>
      </c>
    </row>
    <row r="696" spans="1:10" ht="16.5" customHeight="1">
      <c r="A696" s="42" t="str">
        <f t="shared" si="15"/>
        <v>C695</v>
      </c>
      <c r="B696" s="42" t="s">
        <v>3136</v>
      </c>
      <c r="C696" s="22" t="s">
        <v>1262</v>
      </c>
      <c r="D696" s="42" t="s">
        <v>3149</v>
      </c>
      <c r="E696" s="42" t="s">
        <v>3150</v>
      </c>
      <c r="G696" t="s">
        <v>3151</v>
      </c>
      <c r="H696" s="21" t="s">
        <v>3152</v>
      </c>
      <c r="J696" s="22"/>
    </row>
    <row r="697" spans="1:10" ht="16.5" customHeight="1">
      <c r="A697" s="42" t="str">
        <f t="shared" si="15"/>
        <v>C696</v>
      </c>
      <c r="B697" s="42" t="s">
        <v>3136</v>
      </c>
      <c r="C697" s="22" t="s">
        <v>1764</v>
      </c>
      <c r="D697" s="42" t="s">
        <v>3153</v>
      </c>
      <c r="E697" s="42" t="s">
        <v>3154</v>
      </c>
      <c r="F697" s="21" t="s">
        <v>3155</v>
      </c>
      <c r="G697" t="s">
        <v>3156</v>
      </c>
      <c r="H697" s="21" t="s">
        <v>3157</v>
      </c>
      <c r="J697" s="22"/>
    </row>
    <row r="698" spans="1:10" ht="16.5" customHeight="1">
      <c r="A698" s="42" t="str">
        <f t="shared" si="15"/>
        <v>C697</v>
      </c>
      <c r="B698" s="42" t="s">
        <v>3158</v>
      </c>
      <c r="C698" s="22" t="s">
        <v>2334</v>
      </c>
      <c r="D698" s="42" t="s">
        <v>3159</v>
      </c>
      <c r="E698" s="42" t="s">
        <v>3160</v>
      </c>
      <c r="G698" t="s">
        <v>3161</v>
      </c>
      <c r="H698" s="21" t="s">
        <v>3162</v>
      </c>
      <c r="J698" s="22"/>
    </row>
    <row r="699" spans="1:10" ht="16.5" customHeight="1">
      <c r="A699" s="42" t="str">
        <f t="shared" si="15"/>
        <v>C698</v>
      </c>
      <c r="B699" s="42" t="s">
        <v>3158</v>
      </c>
      <c r="C699" s="22" t="s">
        <v>3163</v>
      </c>
      <c r="D699" s="42" t="s">
        <v>3164</v>
      </c>
      <c r="E699" s="42" t="s">
        <v>3165</v>
      </c>
      <c r="F699" s="48" t="s">
        <v>3166</v>
      </c>
      <c r="G699" t="s">
        <v>3167</v>
      </c>
      <c r="H699" s="21" t="s">
        <v>3168</v>
      </c>
      <c r="J699" s="22"/>
    </row>
    <row r="700" spans="1:10" ht="16.5" customHeight="1">
      <c r="A700" s="42" t="str">
        <f t="shared" si="15"/>
        <v>C699</v>
      </c>
      <c r="B700" s="42" t="s">
        <v>3158</v>
      </c>
      <c r="C700" s="22" t="s">
        <v>3169</v>
      </c>
      <c r="D700" s="42" t="s">
        <v>3170</v>
      </c>
      <c r="E700" s="42" t="s">
        <v>3171</v>
      </c>
      <c r="G700" t="s">
        <v>3172</v>
      </c>
      <c r="H700" s="21" t="s">
        <v>3173</v>
      </c>
      <c r="J700" s="22"/>
    </row>
    <row r="701" spans="1:10" ht="42" customHeight="1">
      <c r="A701" s="42" t="str">
        <f t="shared" si="15"/>
        <v>C700</v>
      </c>
      <c r="B701" s="42" t="s">
        <v>3174</v>
      </c>
      <c r="C701" s="22" t="s">
        <v>3175</v>
      </c>
      <c r="D701" s="42" t="s">
        <v>3176</v>
      </c>
      <c r="E701" s="42" t="s">
        <v>2794</v>
      </c>
      <c r="H701" s="21" t="s">
        <v>3177</v>
      </c>
      <c r="I701" s="22" t="s">
        <v>18</v>
      </c>
      <c r="J701" s="22"/>
    </row>
    <row r="702" spans="1:10" ht="33" customHeight="1">
      <c r="A702" s="42" t="str">
        <f t="shared" si="15"/>
        <v>C701</v>
      </c>
      <c r="B702" s="42" t="s">
        <v>3178</v>
      </c>
      <c r="C702" s="22" t="s">
        <v>3179</v>
      </c>
      <c r="D702" s="42" t="s">
        <v>3180</v>
      </c>
      <c r="E702" s="42" t="s">
        <v>84</v>
      </c>
      <c r="F702" s="48" t="s">
        <v>3181</v>
      </c>
      <c r="G702" t="s">
        <v>3182</v>
      </c>
      <c r="H702" s="21" t="s">
        <v>3183</v>
      </c>
      <c r="J702" s="22"/>
    </row>
    <row r="703" spans="1:10" ht="16.5" customHeight="1">
      <c r="A703" s="42" t="str">
        <f t="shared" si="15"/>
        <v>C702</v>
      </c>
      <c r="B703" s="42" t="s">
        <v>3178</v>
      </c>
      <c r="C703" s="22" t="s">
        <v>3184</v>
      </c>
      <c r="D703" s="42" t="s">
        <v>3185</v>
      </c>
      <c r="E703" s="42" t="s">
        <v>3186</v>
      </c>
      <c r="F703" s="21" t="s">
        <v>3187</v>
      </c>
      <c r="H703" s="21" t="s">
        <v>3188</v>
      </c>
      <c r="J703" s="22"/>
    </row>
    <row r="704" spans="1:10" ht="16.5" customHeight="1">
      <c r="A704" s="42" t="str">
        <f t="shared" si="15"/>
        <v>C703</v>
      </c>
      <c r="B704" s="42" t="s">
        <v>3189</v>
      </c>
      <c r="C704" s="22" t="s">
        <v>3190</v>
      </c>
      <c r="D704" s="42" t="s">
        <v>3191</v>
      </c>
      <c r="E704" s="42" t="s">
        <v>3192</v>
      </c>
      <c r="F704" s="21" t="s">
        <v>3193</v>
      </c>
      <c r="H704" s="21" t="s">
        <v>3194</v>
      </c>
      <c r="J704" s="22"/>
    </row>
    <row r="705" spans="1:10" ht="29.25" customHeight="1">
      <c r="A705" s="42" t="str">
        <f t="shared" si="15"/>
        <v>C704</v>
      </c>
      <c r="B705" s="42" t="s">
        <v>3189</v>
      </c>
      <c r="C705" s="22" t="s">
        <v>1705</v>
      </c>
      <c r="D705" s="42" t="s">
        <v>3195</v>
      </c>
      <c r="E705" s="42" t="s">
        <v>1066</v>
      </c>
      <c r="G705" s="22" t="s">
        <v>3196</v>
      </c>
      <c r="H705" s="21" t="s">
        <v>3197</v>
      </c>
      <c r="J705" s="22"/>
    </row>
    <row r="706" spans="1:10" ht="16.5" customHeight="1">
      <c r="A706" s="42" t="str">
        <f t="shared" si="15"/>
        <v>C705</v>
      </c>
      <c r="B706" s="42" t="s">
        <v>3198</v>
      </c>
      <c r="C706" s="22" t="s">
        <v>3199</v>
      </c>
      <c r="D706" s="42" t="s">
        <v>3200</v>
      </c>
      <c r="E706" s="42" t="s">
        <v>2187</v>
      </c>
      <c r="F706" s="22" t="s">
        <v>3201</v>
      </c>
      <c r="G706" s="48" t="s">
        <v>3202</v>
      </c>
      <c r="H706" s="21" t="s">
        <v>3203</v>
      </c>
      <c r="J706" s="22"/>
    </row>
    <row r="707" spans="1:10" ht="27" customHeight="1">
      <c r="A707" s="42" t="str">
        <f t="shared" si="15"/>
        <v>C706</v>
      </c>
      <c r="B707" s="42" t="s">
        <v>3204</v>
      </c>
      <c r="C707" s="22" t="s">
        <v>3205</v>
      </c>
      <c r="D707" s="42" t="s">
        <v>3206</v>
      </c>
      <c r="E707" s="42" t="s">
        <v>3207</v>
      </c>
      <c r="F707" s="22" t="s">
        <v>3208</v>
      </c>
      <c r="G707" s="48" t="s">
        <v>3209</v>
      </c>
      <c r="H707" s="21" t="s">
        <v>3210</v>
      </c>
      <c r="I707" s="22" t="s">
        <v>18</v>
      </c>
      <c r="J707" s="22"/>
    </row>
    <row r="708" spans="1:10" ht="16.5" customHeight="1">
      <c r="A708" s="42" t="str">
        <f t="shared" si="15"/>
        <v>C707</v>
      </c>
      <c r="B708" s="42" t="s">
        <v>3211</v>
      </c>
      <c r="C708" s="22" t="s">
        <v>3212</v>
      </c>
      <c r="D708" s="42" t="s">
        <v>3213</v>
      </c>
      <c r="E708" s="42" t="s">
        <v>3214</v>
      </c>
      <c r="F708" s="22" t="s">
        <v>3215</v>
      </c>
      <c r="G708" s="48" t="s">
        <v>3216</v>
      </c>
      <c r="H708" s="21" t="s">
        <v>3217</v>
      </c>
      <c r="J708" s="22"/>
    </row>
    <row r="709" spans="1:10" ht="23.25" customHeight="1">
      <c r="A709" s="42" t="str">
        <f t="shared" si="15"/>
        <v>C708</v>
      </c>
      <c r="B709" s="42" t="s">
        <v>3211</v>
      </c>
      <c r="C709" s="22" t="s">
        <v>1790</v>
      </c>
      <c r="D709" s="42" t="s">
        <v>3218</v>
      </c>
      <c r="E709" s="42" t="s">
        <v>634</v>
      </c>
      <c r="H709" s="21" t="s">
        <v>3219</v>
      </c>
      <c r="J709" s="22"/>
    </row>
    <row r="710" spans="1:10" ht="23.25" customHeight="1">
      <c r="A710" s="42" t="str">
        <f t="shared" si="15"/>
        <v>C709</v>
      </c>
      <c r="B710" s="42" t="s">
        <v>3211</v>
      </c>
      <c r="C710" s="22" t="s">
        <v>3220</v>
      </c>
      <c r="D710" s="42" t="s">
        <v>3221</v>
      </c>
      <c r="E710" s="42" t="s">
        <v>3222</v>
      </c>
      <c r="G710" s="20" t="s">
        <v>3223</v>
      </c>
      <c r="H710" s="21" t="s">
        <v>3224</v>
      </c>
      <c r="J710" s="22"/>
    </row>
    <row r="711" spans="1:10" ht="16.5" customHeight="1">
      <c r="A711" s="42" t="str">
        <f t="shared" si="15"/>
        <v>C710</v>
      </c>
      <c r="B711" s="42" t="s">
        <v>3225</v>
      </c>
      <c r="C711" s="22" t="s">
        <v>3146</v>
      </c>
      <c r="D711" s="42" t="s">
        <v>3226</v>
      </c>
      <c r="E711" s="42" t="s">
        <v>3227</v>
      </c>
      <c r="F711" s="21" t="s">
        <v>3228</v>
      </c>
      <c r="G711" s="79" t="s">
        <v>3229</v>
      </c>
      <c r="H711" s="21" t="s">
        <v>3230</v>
      </c>
      <c r="J711" s="22"/>
    </row>
    <row r="712" spans="1:10" ht="16.5" customHeight="1">
      <c r="A712" s="42" t="str">
        <f t="shared" si="15"/>
        <v>C711</v>
      </c>
      <c r="B712" s="42" t="s">
        <v>3225</v>
      </c>
      <c r="C712" s="22" t="s">
        <v>272</v>
      </c>
      <c r="D712" s="42" t="s">
        <v>3231</v>
      </c>
      <c r="E712" s="42" t="s">
        <v>3232</v>
      </c>
      <c r="F712" s="48" t="s">
        <v>3233</v>
      </c>
      <c r="G712" t="s">
        <v>3234</v>
      </c>
      <c r="H712" s="21" t="s">
        <v>3235</v>
      </c>
      <c r="J712" s="22"/>
    </row>
    <row r="713" spans="1:10" ht="16.5" customHeight="1">
      <c r="A713" s="42" t="str">
        <f t="shared" si="15"/>
        <v>C712</v>
      </c>
      <c r="B713" s="42" t="s">
        <v>3225</v>
      </c>
      <c r="C713" s="22" t="s">
        <v>671</v>
      </c>
      <c r="D713" s="42" t="s">
        <v>3236</v>
      </c>
      <c r="E713" s="42" t="s">
        <v>3237</v>
      </c>
      <c r="F713" s="48" t="s">
        <v>3238</v>
      </c>
      <c r="H713" s="21" t="s">
        <v>3239</v>
      </c>
      <c r="J713" s="22"/>
    </row>
    <row r="714" spans="1:10" ht="16.5" customHeight="1">
      <c r="A714" s="42" t="str">
        <f t="shared" si="15"/>
        <v>C713</v>
      </c>
      <c r="B714" s="42" t="s">
        <v>3240</v>
      </c>
      <c r="C714" s="22" t="s">
        <v>3241</v>
      </c>
      <c r="D714" s="42" t="s">
        <v>3242</v>
      </c>
      <c r="G714" t="s">
        <v>3243</v>
      </c>
      <c r="H714" s="21" t="s">
        <v>3244</v>
      </c>
      <c r="J714" s="22"/>
    </row>
    <row r="715" spans="1:10" ht="16.5" customHeight="1">
      <c r="A715" s="42" t="str">
        <f t="shared" si="15"/>
        <v>C714</v>
      </c>
      <c r="B715" s="42" t="s">
        <v>3245</v>
      </c>
      <c r="C715" s="22" t="s">
        <v>2313</v>
      </c>
      <c r="D715" s="42" t="s">
        <v>3246</v>
      </c>
      <c r="E715" s="42" t="s">
        <v>1674</v>
      </c>
      <c r="F715" s="48" t="s">
        <v>3247</v>
      </c>
      <c r="G715" t="s">
        <v>3248</v>
      </c>
      <c r="H715" s="21" t="s">
        <v>3249</v>
      </c>
      <c r="I715" s="22" t="s">
        <v>18</v>
      </c>
      <c r="J715" s="22"/>
    </row>
    <row r="716" spans="1:10" ht="16.5" customHeight="1">
      <c r="A716" s="42" t="str">
        <f t="shared" si="15"/>
        <v>C715</v>
      </c>
      <c r="B716" s="42" t="s">
        <v>3250</v>
      </c>
      <c r="C716" s="22" t="s">
        <v>605</v>
      </c>
      <c r="D716" s="42" t="s">
        <v>3251</v>
      </c>
      <c r="E716" s="42" t="s">
        <v>3252</v>
      </c>
      <c r="F716" s="48" t="s">
        <v>3253</v>
      </c>
      <c r="H716" s="21" t="s">
        <v>3254</v>
      </c>
      <c r="J716" s="22"/>
    </row>
    <row r="717" spans="1:10" ht="16.5" customHeight="1">
      <c r="A717" s="42" t="str">
        <f t="shared" si="15"/>
        <v>C716</v>
      </c>
      <c r="B717" s="42" t="s">
        <v>3255</v>
      </c>
      <c r="C717" s="22" t="s">
        <v>92</v>
      </c>
      <c r="D717" s="42" t="s">
        <v>3256</v>
      </c>
      <c r="E717" s="42" t="s">
        <v>335</v>
      </c>
      <c r="F717" s="21" t="s">
        <v>3257</v>
      </c>
      <c r="G717" t="s">
        <v>3258</v>
      </c>
      <c r="H717" s="21" t="s">
        <v>3259</v>
      </c>
      <c r="I717" s="22" t="s">
        <v>18</v>
      </c>
      <c r="J717" s="22"/>
    </row>
    <row r="718" spans="1:10" ht="16.5" customHeight="1">
      <c r="A718" s="42" t="str">
        <f t="shared" si="15"/>
        <v>C717</v>
      </c>
      <c r="B718" s="42" t="s">
        <v>3250</v>
      </c>
      <c r="C718" s="22" t="s">
        <v>800</v>
      </c>
      <c r="D718" s="42" t="s">
        <v>3260</v>
      </c>
      <c r="E718" s="42" t="s">
        <v>335</v>
      </c>
      <c r="F718" s="48" t="s">
        <v>3261</v>
      </c>
      <c r="G718" s="22" t="s">
        <v>3262</v>
      </c>
      <c r="H718" s="21" t="s">
        <v>3263</v>
      </c>
      <c r="I718" s="22" t="s">
        <v>18</v>
      </c>
      <c r="J718" s="22"/>
    </row>
    <row r="719" spans="1:10" ht="16.5" customHeight="1">
      <c r="A719" s="42" t="str">
        <f t="shared" si="15"/>
        <v>C718</v>
      </c>
      <c r="B719" s="42" t="s">
        <v>3250</v>
      </c>
      <c r="C719" s="22" t="s">
        <v>3264</v>
      </c>
      <c r="D719" s="42" t="s">
        <v>3265</v>
      </c>
      <c r="E719" s="42" t="s">
        <v>3266</v>
      </c>
      <c r="F719" s="47"/>
      <c r="G719" s="42" t="s">
        <v>3267</v>
      </c>
      <c r="H719" s="21"/>
      <c r="I719" s="22" t="s">
        <v>18</v>
      </c>
      <c r="J719" s="22"/>
    </row>
    <row r="720" spans="1:10" ht="15.75" customHeight="1">
      <c r="A720" s="42" t="str">
        <f t="shared" si="15"/>
        <v>C719</v>
      </c>
      <c r="B720" s="42" t="s">
        <v>3268</v>
      </c>
      <c r="C720" s="22" t="s">
        <v>3082</v>
      </c>
      <c r="D720" s="42" t="s">
        <v>3269</v>
      </c>
      <c r="E720" s="42" t="s">
        <v>3270</v>
      </c>
      <c r="G720" t="s">
        <v>3271</v>
      </c>
      <c r="H720" s="21" t="s">
        <v>3272</v>
      </c>
      <c r="J720" s="22"/>
    </row>
    <row r="721" spans="1:10" ht="16.5" customHeight="1">
      <c r="A721" s="42" t="str">
        <f t="shared" si="15"/>
        <v>C720</v>
      </c>
      <c r="B721" s="42" t="s">
        <v>3268</v>
      </c>
      <c r="C721" s="22" t="s">
        <v>1557</v>
      </c>
      <c r="D721" s="42" t="s">
        <v>3273</v>
      </c>
      <c r="E721" s="42" t="s">
        <v>2006</v>
      </c>
      <c r="F721" s="48" t="s">
        <v>3274</v>
      </c>
      <c r="H721" s="20" t="s">
        <v>3275</v>
      </c>
      <c r="J721" s="22"/>
    </row>
    <row r="722" spans="1:10" ht="16.5" customHeight="1">
      <c r="A722" s="42" t="str">
        <f t="shared" si="15"/>
        <v>C721</v>
      </c>
      <c r="B722" s="42" t="s">
        <v>3268</v>
      </c>
      <c r="C722" s="22" t="s">
        <v>442</v>
      </c>
      <c r="D722" s="42" t="s">
        <v>3276</v>
      </c>
      <c r="E722" s="42" t="s">
        <v>84</v>
      </c>
      <c r="F722" s="20" t="s">
        <v>3277</v>
      </c>
      <c r="G722" t="s">
        <v>3278</v>
      </c>
      <c r="H722" s="20" t="s">
        <v>3279</v>
      </c>
      <c r="I722" s="22" t="s">
        <v>18</v>
      </c>
      <c r="J722" s="22"/>
    </row>
    <row r="723" spans="1:10" ht="16.5" customHeight="1">
      <c r="A723" s="42" t="str">
        <f t="shared" si="15"/>
        <v>C722</v>
      </c>
      <c r="B723" s="42" t="s">
        <v>3268</v>
      </c>
      <c r="C723" s="22" t="s">
        <v>3280</v>
      </c>
      <c r="D723" s="42" t="s">
        <v>3281</v>
      </c>
      <c r="E723" s="42" t="s">
        <v>819</v>
      </c>
      <c r="F723" s="48" t="s">
        <v>3282</v>
      </c>
      <c r="G723" t="s">
        <v>3283</v>
      </c>
      <c r="H723" s="21" t="s">
        <v>3284</v>
      </c>
      <c r="J723" s="22"/>
    </row>
    <row r="724" spans="1:10" ht="16.5" customHeight="1">
      <c r="A724" s="42" t="str">
        <f t="shared" si="15"/>
        <v>C723</v>
      </c>
      <c r="B724" s="42" t="s">
        <v>3268</v>
      </c>
      <c r="C724" s="22" t="s">
        <v>574</v>
      </c>
      <c r="D724" s="42" t="s">
        <v>3285</v>
      </c>
      <c r="E724" s="42" t="s">
        <v>3286</v>
      </c>
      <c r="F724" s="48" t="s">
        <v>3287</v>
      </c>
      <c r="G724" t="s">
        <v>3288</v>
      </c>
      <c r="H724" s="21" t="s">
        <v>3289</v>
      </c>
      <c r="J724" s="22"/>
    </row>
    <row r="725" spans="1:10" ht="16.5" customHeight="1">
      <c r="A725" s="42" t="str">
        <f t="shared" si="15"/>
        <v>C724</v>
      </c>
      <c r="B725" s="42" t="s">
        <v>3290</v>
      </c>
      <c r="C725" s="22" t="s">
        <v>586</v>
      </c>
      <c r="D725" s="42" t="s">
        <v>3291</v>
      </c>
      <c r="E725" s="42" t="s">
        <v>898</v>
      </c>
      <c r="F725" s="48" t="s">
        <v>3292</v>
      </c>
      <c r="G725" t="s">
        <v>3293</v>
      </c>
      <c r="H725" s="21" t="s">
        <v>3294</v>
      </c>
      <c r="J725" s="22">
        <v>2</v>
      </c>
    </row>
    <row r="726" spans="1:10" ht="16.5" customHeight="1">
      <c r="A726" s="42" t="str">
        <f t="shared" si="15"/>
        <v>C725</v>
      </c>
      <c r="B726" s="42" t="s">
        <v>3290</v>
      </c>
      <c r="C726" s="22" t="s">
        <v>3295</v>
      </c>
      <c r="D726" s="42" t="s">
        <v>3296</v>
      </c>
      <c r="E726" s="42" t="s">
        <v>3297</v>
      </c>
      <c r="F726" s="48" t="s">
        <v>3298</v>
      </c>
      <c r="G726" t="s">
        <v>3299</v>
      </c>
      <c r="H726" s="21" t="s">
        <v>3300</v>
      </c>
      <c r="I726" s="20" t="s">
        <v>18</v>
      </c>
      <c r="J726" s="22"/>
    </row>
    <row r="727" spans="1:10" ht="16.5" customHeight="1">
      <c r="A727" s="42" t="str">
        <f t="shared" si="15"/>
        <v>C726</v>
      </c>
      <c r="B727" s="42" t="s">
        <v>3290</v>
      </c>
      <c r="C727" s="22" t="s">
        <v>3301</v>
      </c>
      <c r="D727" s="42" t="s">
        <v>3302</v>
      </c>
      <c r="E727" s="42" t="s">
        <v>3303</v>
      </c>
      <c r="F727" s="48" t="s">
        <v>3304</v>
      </c>
      <c r="G727" t="s">
        <v>3305</v>
      </c>
      <c r="H727" s="21" t="s">
        <v>3306</v>
      </c>
      <c r="J727" s="22"/>
    </row>
    <row r="728" spans="1:10" ht="16.5" customHeight="1">
      <c r="A728" s="42" t="str">
        <f t="shared" si="15"/>
        <v>C727</v>
      </c>
      <c r="B728" s="42" t="s">
        <v>3290</v>
      </c>
      <c r="C728" s="22" t="s">
        <v>586</v>
      </c>
      <c r="D728" s="42" t="s">
        <v>3307</v>
      </c>
      <c r="E728" s="42" t="s">
        <v>3308</v>
      </c>
      <c r="F728" s="48" t="s">
        <v>3309</v>
      </c>
      <c r="G728" s="22" t="s">
        <v>3310</v>
      </c>
      <c r="H728" s="21" t="s">
        <v>3311</v>
      </c>
      <c r="I728" s="22" t="s">
        <v>18</v>
      </c>
      <c r="J728" s="22"/>
    </row>
    <row r="729" spans="1:10" ht="16.5" customHeight="1">
      <c r="A729" s="42" t="str">
        <f t="shared" si="15"/>
        <v>C728</v>
      </c>
      <c r="B729" s="42" t="s">
        <v>3290</v>
      </c>
      <c r="C729" s="22" t="s">
        <v>3312</v>
      </c>
      <c r="D729" s="42" t="s">
        <v>3313</v>
      </c>
      <c r="E729" s="42" t="s">
        <v>3314</v>
      </c>
      <c r="F729" s="48" t="s">
        <v>3315</v>
      </c>
      <c r="G729" t="s">
        <v>3316</v>
      </c>
      <c r="H729" s="21" t="s">
        <v>3317</v>
      </c>
      <c r="J729" s="22"/>
    </row>
    <row r="730" spans="1:10" ht="16.5" customHeight="1">
      <c r="A730" s="42" t="str">
        <f t="shared" ref="A730:A797" si="16">_xlfn.CONCAT("C",TEXT(ROW()-1,"000"))</f>
        <v>C729</v>
      </c>
      <c r="B730" s="42" t="s">
        <v>3290</v>
      </c>
      <c r="C730" s="22" t="s">
        <v>3318</v>
      </c>
      <c r="D730" s="42" t="s">
        <v>3319</v>
      </c>
      <c r="F730" s="48" t="s">
        <v>3320</v>
      </c>
      <c r="J730" s="22"/>
    </row>
    <row r="731" spans="1:10" ht="16.5" customHeight="1">
      <c r="A731" s="42" t="str">
        <f t="shared" si="16"/>
        <v>C730</v>
      </c>
      <c r="B731" s="42" t="s">
        <v>3290</v>
      </c>
      <c r="C731" s="22" t="s">
        <v>354</v>
      </c>
      <c r="D731" s="42" t="s">
        <v>3321</v>
      </c>
      <c r="E731" s="42" t="s">
        <v>3322</v>
      </c>
      <c r="F731" s="48" t="s">
        <v>3323</v>
      </c>
      <c r="H731" s="21" t="s">
        <v>3324</v>
      </c>
      <c r="I731" s="22" t="s">
        <v>18</v>
      </c>
      <c r="J731" s="22"/>
    </row>
    <row r="732" spans="1:10" ht="16.5" customHeight="1">
      <c r="A732" s="42" t="str">
        <f t="shared" si="16"/>
        <v>C731</v>
      </c>
      <c r="B732" s="42" t="s">
        <v>3325</v>
      </c>
      <c r="C732" s="22" t="s">
        <v>1662</v>
      </c>
      <c r="D732" s="42" t="s">
        <v>3326</v>
      </c>
      <c r="E732" s="42" t="s">
        <v>3327</v>
      </c>
      <c r="F732" s="21" t="s">
        <v>3328</v>
      </c>
      <c r="H732" s="21" t="s">
        <v>3329</v>
      </c>
      <c r="J732" s="22"/>
    </row>
    <row r="733" spans="1:10" ht="16.5" customHeight="1">
      <c r="A733" s="42" t="str">
        <f t="shared" si="16"/>
        <v>C732</v>
      </c>
      <c r="B733" s="42" t="s">
        <v>3330</v>
      </c>
      <c r="C733" s="22" t="s">
        <v>3331</v>
      </c>
      <c r="D733" s="42" t="s">
        <v>3332</v>
      </c>
      <c r="E733" s="22" t="s">
        <v>3333</v>
      </c>
      <c r="H733" s="21" t="s">
        <v>3334</v>
      </c>
      <c r="J733" s="22"/>
    </row>
    <row r="734" spans="1:10" ht="16.5" customHeight="1">
      <c r="A734" s="42" t="str">
        <f t="shared" si="16"/>
        <v>C733</v>
      </c>
      <c r="B734" s="42" t="s">
        <v>3335</v>
      </c>
      <c r="C734" s="22" t="s">
        <v>3336</v>
      </c>
      <c r="D734" s="42" t="s">
        <v>3337</v>
      </c>
      <c r="E734" s="42" t="s">
        <v>202</v>
      </c>
      <c r="F734" s="21" t="s">
        <v>3338</v>
      </c>
      <c r="G734" t="s">
        <v>3339</v>
      </c>
      <c r="H734" s="21" t="s">
        <v>3340</v>
      </c>
      <c r="J734" s="22"/>
    </row>
    <row r="735" spans="1:10" ht="16.5" customHeight="1">
      <c r="A735" s="42" t="str">
        <f t="shared" si="16"/>
        <v>C734</v>
      </c>
      <c r="B735" s="42" t="s">
        <v>3341</v>
      </c>
      <c r="C735" s="22" t="s">
        <v>689</v>
      </c>
      <c r="J735" s="22"/>
    </row>
    <row r="736" spans="1:10" ht="16.5" customHeight="1">
      <c r="A736" s="42" t="str">
        <f t="shared" si="16"/>
        <v>C735</v>
      </c>
      <c r="B736" s="42" t="s">
        <v>3342</v>
      </c>
      <c r="C736" s="22" t="s">
        <v>3343</v>
      </c>
      <c r="D736" s="42" t="s">
        <v>3344</v>
      </c>
      <c r="E736" s="42" t="s">
        <v>347</v>
      </c>
      <c r="G736" t="s">
        <v>3345</v>
      </c>
      <c r="H736" s="21" t="s">
        <v>3346</v>
      </c>
      <c r="I736" s="85" t="s">
        <v>18</v>
      </c>
      <c r="J736" s="22"/>
    </row>
    <row r="737" spans="1:10" ht="24" customHeight="1">
      <c r="A737" s="42" t="str">
        <f t="shared" si="16"/>
        <v>C736</v>
      </c>
      <c r="B737" s="42" t="s">
        <v>3347</v>
      </c>
      <c r="C737" s="22" t="s">
        <v>2951</v>
      </c>
      <c r="D737" s="42" t="s">
        <v>3348</v>
      </c>
      <c r="E737" s="42" t="s">
        <v>3349</v>
      </c>
      <c r="G737" t="s">
        <v>3350</v>
      </c>
      <c r="H737" s="21" t="s">
        <v>3351</v>
      </c>
      <c r="I737" s="85" t="s">
        <v>18</v>
      </c>
      <c r="J737" s="22"/>
    </row>
    <row r="738" spans="1:10" ht="24.75" customHeight="1">
      <c r="A738" s="42" t="str">
        <f t="shared" si="16"/>
        <v>C737</v>
      </c>
      <c r="B738" s="42" t="s">
        <v>3352</v>
      </c>
      <c r="C738" s="22" t="s">
        <v>2956</v>
      </c>
      <c r="D738" s="42" t="s">
        <v>3353</v>
      </c>
      <c r="E738" s="42" t="s">
        <v>3354</v>
      </c>
      <c r="G738" t="s">
        <v>3355</v>
      </c>
      <c r="H738" s="21" t="s">
        <v>3356</v>
      </c>
      <c r="I738" s="85" t="s">
        <v>18</v>
      </c>
      <c r="J738" s="22"/>
    </row>
    <row r="739" spans="1:10" ht="16.5" customHeight="1">
      <c r="A739" s="42" t="str">
        <f t="shared" si="16"/>
        <v>C738</v>
      </c>
      <c r="B739" s="42" t="s">
        <v>3357</v>
      </c>
      <c r="C739" s="22" t="s">
        <v>610</v>
      </c>
      <c r="D739" s="42" t="s">
        <v>3358</v>
      </c>
      <c r="G739" t="s">
        <v>3359</v>
      </c>
      <c r="H739" s="21" t="s">
        <v>3360</v>
      </c>
      <c r="I739" s="85" t="s">
        <v>18</v>
      </c>
      <c r="J739" s="22"/>
    </row>
    <row r="740" spans="1:10" ht="16.5" customHeight="1">
      <c r="A740" s="42" t="str">
        <f t="shared" si="16"/>
        <v>C739</v>
      </c>
      <c r="B740" s="42" t="s">
        <v>3361</v>
      </c>
      <c r="C740" s="22" t="s">
        <v>3362</v>
      </c>
      <c r="D740" s="42" t="s">
        <v>3363</v>
      </c>
      <c r="H740" s="21" t="s">
        <v>3364</v>
      </c>
      <c r="I740" s="85" t="s">
        <v>18</v>
      </c>
      <c r="J740" s="22"/>
    </row>
    <row r="741" spans="1:10" ht="16.5" customHeight="1">
      <c r="A741" s="42" t="str">
        <f t="shared" si="16"/>
        <v>C740</v>
      </c>
      <c r="B741" s="42" t="s">
        <v>3361</v>
      </c>
      <c r="C741" s="22" t="s">
        <v>2129</v>
      </c>
      <c r="D741" s="42" t="s">
        <v>3365</v>
      </c>
      <c r="E741" s="42" t="s">
        <v>3366</v>
      </c>
      <c r="G741" t="s">
        <v>3367</v>
      </c>
      <c r="H741" s="21" t="s">
        <v>3368</v>
      </c>
      <c r="I741" s="85" t="s">
        <v>18</v>
      </c>
      <c r="J741" s="22"/>
    </row>
    <row r="742" spans="1:10" ht="16.5" customHeight="1">
      <c r="A742" s="42" t="str">
        <f t="shared" si="16"/>
        <v>C741</v>
      </c>
      <c r="B742" s="42" t="s">
        <v>3369</v>
      </c>
      <c r="C742" s="22" t="s">
        <v>1778</v>
      </c>
      <c r="D742" s="42" t="s">
        <v>3370</v>
      </c>
      <c r="E742" s="42" t="s">
        <v>3371</v>
      </c>
      <c r="G742" t="s">
        <v>3372</v>
      </c>
      <c r="H742" s="21" t="s">
        <v>3373</v>
      </c>
      <c r="I742" s="85" t="s">
        <v>18</v>
      </c>
      <c r="J742" s="22"/>
    </row>
    <row r="743" spans="1:10" ht="22.5" customHeight="1">
      <c r="A743" s="42" t="str">
        <f t="shared" si="16"/>
        <v>C742</v>
      </c>
      <c r="B743" s="42" t="s">
        <v>3369</v>
      </c>
      <c r="C743" s="22" t="s">
        <v>3374</v>
      </c>
      <c r="D743" s="42" t="s">
        <v>3375</v>
      </c>
      <c r="E743" s="42" t="s">
        <v>62</v>
      </c>
      <c r="I743" s="85" t="s">
        <v>18</v>
      </c>
      <c r="J743" s="22"/>
    </row>
    <row r="744" spans="1:10" ht="16.5" customHeight="1">
      <c r="A744" s="42" t="str">
        <f t="shared" si="16"/>
        <v>C743</v>
      </c>
      <c r="B744" s="42" t="s">
        <v>3376</v>
      </c>
      <c r="C744" s="22" t="s">
        <v>3377</v>
      </c>
      <c r="D744" s="42" t="s">
        <v>3378</v>
      </c>
      <c r="E744" s="42" t="s">
        <v>426</v>
      </c>
      <c r="F744" s="48" t="s">
        <v>3379</v>
      </c>
      <c r="G744" t="s">
        <v>3380</v>
      </c>
      <c r="H744" s="21" t="s">
        <v>3381</v>
      </c>
      <c r="J744" s="22"/>
    </row>
    <row r="745" spans="1:10" ht="16.5" customHeight="1">
      <c r="A745" s="42" t="str">
        <f t="shared" si="16"/>
        <v>C744</v>
      </c>
      <c r="B745" s="42" t="s">
        <v>3382</v>
      </c>
      <c r="C745" s="22" t="s">
        <v>2483</v>
      </c>
      <c r="D745" s="42" t="s">
        <v>2856</v>
      </c>
      <c r="E745" s="42" t="s">
        <v>3383</v>
      </c>
      <c r="F745" s="48" t="s">
        <v>3384</v>
      </c>
      <c r="G745" s="22" t="s">
        <v>3385</v>
      </c>
      <c r="H745" s="21" t="s">
        <v>3386</v>
      </c>
      <c r="J745" s="22"/>
    </row>
    <row r="746" spans="1:10" ht="16.5" customHeight="1">
      <c r="A746" s="42" t="str">
        <f t="shared" si="16"/>
        <v>C745</v>
      </c>
      <c r="B746" s="42" t="s">
        <v>3387</v>
      </c>
      <c r="C746" s="22" t="s">
        <v>3388</v>
      </c>
      <c r="D746" s="42" t="s">
        <v>3389</v>
      </c>
      <c r="E746" s="42" t="s">
        <v>62</v>
      </c>
      <c r="F746" s="48" t="s">
        <v>3390</v>
      </c>
      <c r="G746" t="s">
        <v>3391</v>
      </c>
      <c r="H746" s="21" t="s">
        <v>3392</v>
      </c>
      <c r="J746" s="22"/>
    </row>
    <row r="747" spans="1:10" ht="16.5" customHeight="1">
      <c r="A747" s="42" t="str">
        <f t="shared" si="16"/>
        <v>C746</v>
      </c>
      <c r="B747" s="42" t="s">
        <v>3387</v>
      </c>
      <c r="C747" s="22" t="s">
        <v>3388</v>
      </c>
      <c r="D747" s="42" t="s">
        <v>3393</v>
      </c>
      <c r="E747" s="42" t="s">
        <v>3394</v>
      </c>
      <c r="G747" t="s">
        <v>3395</v>
      </c>
      <c r="H747" s="21" t="s">
        <v>3396</v>
      </c>
      <c r="I747" s="22" t="s">
        <v>18</v>
      </c>
      <c r="J747" s="22"/>
    </row>
    <row r="748" spans="1:10" ht="16.5" customHeight="1">
      <c r="A748" s="42" t="str">
        <f t="shared" si="16"/>
        <v>C747</v>
      </c>
      <c r="B748" s="42" t="s">
        <v>3387</v>
      </c>
      <c r="C748" s="22" t="s">
        <v>3388</v>
      </c>
      <c r="D748" s="42" t="s">
        <v>3397</v>
      </c>
      <c r="E748" s="42" t="s">
        <v>3398</v>
      </c>
      <c r="G748" t="s">
        <v>3399</v>
      </c>
      <c r="H748" s="21" t="s">
        <v>3400</v>
      </c>
      <c r="J748" s="22"/>
    </row>
    <row r="749" spans="1:10" ht="16.5" customHeight="1">
      <c r="A749" s="42" t="str">
        <f t="shared" si="16"/>
        <v>C748</v>
      </c>
      <c r="B749" s="42" t="s">
        <v>3387</v>
      </c>
      <c r="C749" s="22" t="s">
        <v>3388</v>
      </c>
      <c r="D749" s="42" t="s">
        <v>3401</v>
      </c>
      <c r="E749" s="42" t="s">
        <v>178</v>
      </c>
      <c r="F749" s="48" t="s">
        <v>3402</v>
      </c>
      <c r="G749" t="s">
        <v>3403</v>
      </c>
      <c r="H749" s="21" t="s">
        <v>3404</v>
      </c>
      <c r="J749" s="22"/>
    </row>
    <row r="750" spans="1:10" ht="16.5" customHeight="1">
      <c r="A750" s="42" t="str">
        <f t="shared" si="16"/>
        <v>C749</v>
      </c>
      <c r="B750" s="42" t="s">
        <v>3405</v>
      </c>
      <c r="C750" s="22" t="s">
        <v>639</v>
      </c>
      <c r="D750" s="42" t="s">
        <v>3406</v>
      </c>
      <c r="E750" s="42" t="s">
        <v>3407</v>
      </c>
      <c r="F750" s="48" t="s">
        <v>3408</v>
      </c>
      <c r="G750" t="s">
        <v>3409</v>
      </c>
      <c r="H750" s="21" t="s">
        <v>3410</v>
      </c>
      <c r="J750" s="22"/>
    </row>
    <row r="751" spans="1:10" ht="16.5" customHeight="1">
      <c r="A751" s="42" t="str">
        <f t="shared" si="16"/>
        <v>C750</v>
      </c>
      <c r="B751" s="42" t="s">
        <v>3411</v>
      </c>
      <c r="C751" s="22" t="s">
        <v>639</v>
      </c>
      <c r="D751" s="42" t="s">
        <v>3412</v>
      </c>
      <c r="F751" s="48" t="s">
        <v>3413</v>
      </c>
      <c r="H751" s="21" t="s">
        <v>3414</v>
      </c>
      <c r="J751" s="22"/>
    </row>
    <row r="752" spans="1:10" ht="16.5" customHeight="1">
      <c r="A752" s="42" t="str">
        <f t="shared" si="16"/>
        <v>C751</v>
      </c>
      <c r="B752" s="42" t="s">
        <v>3411</v>
      </c>
      <c r="C752" s="22" t="s">
        <v>639</v>
      </c>
      <c r="D752" s="42" t="s">
        <v>3415</v>
      </c>
      <c r="E752" s="42" t="s">
        <v>3416</v>
      </c>
      <c r="G752" t="s">
        <v>3417</v>
      </c>
      <c r="H752" s="21" t="s">
        <v>3418</v>
      </c>
      <c r="J752" s="22"/>
    </row>
    <row r="753" spans="1:14" ht="16.5" customHeight="1">
      <c r="A753" s="42" t="str">
        <f t="shared" si="16"/>
        <v>C752</v>
      </c>
      <c r="J753" s="22"/>
    </row>
    <row r="754" spans="1:14" ht="16.5" customHeight="1">
      <c r="A754" s="42" t="str">
        <f t="shared" si="16"/>
        <v>C753</v>
      </c>
      <c r="J754" s="22"/>
    </row>
    <row r="755" spans="1:14" ht="16.5" customHeight="1">
      <c r="A755" s="42" t="str">
        <f t="shared" si="16"/>
        <v>C754</v>
      </c>
      <c r="B755" s="42" t="s">
        <v>3419</v>
      </c>
      <c r="C755" s="22" t="s">
        <v>135</v>
      </c>
      <c r="D755" s="42" t="s">
        <v>3420</v>
      </c>
      <c r="E755" s="42" t="s">
        <v>583</v>
      </c>
      <c r="F755" s="48" t="s">
        <v>3421</v>
      </c>
      <c r="G755" t="s">
        <v>3422</v>
      </c>
      <c r="H755" s="21" t="s">
        <v>3423</v>
      </c>
      <c r="J755" s="22"/>
    </row>
    <row r="756" spans="1:14" ht="16.5" customHeight="1">
      <c r="A756" s="42" t="str">
        <f t="shared" si="16"/>
        <v>C755</v>
      </c>
      <c r="J756" s="22"/>
    </row>
    <row r="757" spans="1:14" ht="16.5" customHeight="1">
      <c r="A757" s="42" t="str">
        <f t="shared" si="16"/>
        <v>C756</v>
      </c>
      <c r="J757" s="22"/>
      <c r="N757" s="20" t="s">
        <v>3424</v>
      </c>
    </row>
    <row r="758" spans="1:14" ht="16.5" customHeight="1">
      <c r="A758" s="42" t="str">
        <f t="shared" si="16"/>
        <v>C757</v>
      </c>
      <c r="J758" s="22"/>
    </row>
    <row r="759" spans="1:14" ht="16.5" customHeight="1">
      <c r="A759" s="42" t="str">
        <f t="shared" si="16"/>
        <v>C758</v>
      </c>
      <c r="J759" s="22"/>
    </row>
    <row r="760" spans="1:14" ht="16.5" customHeight="1">
      <c r="A760" s="42" t="str">
        <f t="shared" si="16"/>
        <v>C759</v>
      </c>
      <c r="J760" s="22"/>
    </row>
    <row r="761" spans="1:14" ht="16.5" customHeight="1">
      <c r="A761" s="42" t="str">
        <f t="shared" si="16"/>
        <v>C760</v>
      </c>
      <c r="J761" s="22"/>
    </row>
    <row r="762" spans="1:14" ht="16.5" customHeight="1">
      <c r="A762" s="42" t="str">
        <f t="shared" si="16"/>
        <v>C761</v>
      </c>
      <c r="J762" s="22"/>
    </row>
    <row r="763" spans="1:14" ht="16.5" customHeight="1">
      <c r="A763" s="42" t="str">
        <f t="shared" si="16"/>
        <v>C762</v>
      </c>
      <c r="J763" s="22"/>
    </row>
    <row r="764" spans="1:14" ht="16.5" customHeight="1">
      <c r="A764" s="42" t="str">
        <f t="shared" si="16"/>
        <v>C763</v>
      </c>
      <c r="J764" s="22"/>
    </row>
    <row r="765" spans="1:14" ht="16.5" customHeight="1">
      <c r="A765" s="42" t="str">
        <f t="shared" si="16"/>
        <v>C764</v>
      </c>
      <c r="J765" s="22"/>
    </row>
    <row r="766" spans="1:14" ht="16.5" customHeight="1">
      <c r="A766" s="42" t="str">
        <f t="shared" si="16"/>
        <v>C765</v>
      </c>
      <c r="J766" s="22"/>
    </row>
    <row r="767" spans="1:14" ht="16.5" customHeight="1">
      <c r="A767" s="42" t="str">
        <f t="shared" si="16"/>
        <v>C766</v>
      </c>
      <c r="J767" s="22"/>
    </row>
    <row r="768" spans="1:14" ht="16.5" customHeight="1">
      <c r="A768" s="42" t="str">
        <f t="shared" si="16"/>
        <v>C767</v>
      </c>
      <c r="J768" s="22"/>
    </row>
    <row r="769" spans="1:10" ht="16.5" customHeight="1">
      <c r="A769" s="42" t="str">
        <f t="shared" si="16"/>
        <v>C768</v>
      </c>
      <c r="J769" s="22"/>
    </row>
    <row r="770" spans="1:10" ht="16.5" customHeight="1">
      <c r="A770" s="42" t="str">
        <f t="shared" si="16"/>
        <v>C769</v>
      </c>
      <c r="J770" s="22"/>
    </row>
    <row r="771" spans="1:10" ht="16.5" customHeight="1">
      <c r="A771" s="42" t="str">
        <f t="shared" si="16"/>
        <v>C770</v>
      </c>
      <c r="J771" s="22"/>
    </row>
    <row r="772" spans="1:10" ht="16.5" customHeight="1">
      <c r="A772" s="42" t="str">
        <f t="shared" si="16"/>
        <v>C771</v>
      </c>
      <c r="J772" s="22"/>
    </row>
    <row r="773" spans="1:10" ht="16.5" customHeight="1">
      <c r="A773" s="42" t="str">
        <f t="shared" si="16"/>
        <v>C772</v>
      </c>
      <c r="J773" s="22"/>
    </row>
    <row r="774" spans="1:10" ht="16.5" customHeight="1">
      <c r="A774" s="42" t="str">
        <f t="shared" si="16"/>
        <v>C773</v>
      </c>
      <c r="J774" s="22"/>
    </row>
    <row r="775" spans="1:10" ht="16.5" customHeight="1">
      <c r="A775" s="42" t="str">
        <f t="shared" si="16"/>
        <v>C774</v>
      </c>
      <c r="J775" s="22"/>
    </row>
    <row r="776" spans="1:10" ht="16.5" customHeight="1">
      <c r="A776" s="42" t="str">
        <f t="shared" si="16"/>
        <v>C775</v>
      </c>
      <c r="J776" s="22"/>
    </row>
    <row r="777" spans="1:10" ht="16.5" customHeight="1">
      <c r="A777" s="42" t="str">
        <f t="shared" si="16"/>
        <v>C776</v>
      </c>
      <c r="J777" s="22"/>
    </row>
    <row r="778" spans="1:10" ht="16.5" customHeight="1">
      <c r="A778" s="42" t="str">
        <f t="shared" si="16"/>
        <v>C777</v>
      </c>
      <c r="J778" s="22"/>
    </row>
    <row r="779" spans="1:10" ht="16.5" customHeight="1">
      <c r="A779" s="42" t="str">
        <f t="shared" si="16"/>
        <v>C778</v>
      </c>
      <c r="J779" s="22"/>
    </row>
    <row r="780" spans="1:10" ht="16.5" customHeight="1">
      <c r="A780" s="42" t="str">
        <f t="shared" si="16"/>
        <v>C779</v>
      </c>
      <c r="J780" s="22"/>
    </row>
    <row r="781" spans="1:10" ht="16.5" customHeight="1">
      <c r="A781" s="42" t="str">
        <f t="shared" si="16"/>
        <v>C780</v>
      </c>
      <c r="J781" s="22"/>
    </row>
    <row r="782" spans="1:10" ht="16.5" customHeight="1">
      <c r="A782" s="42" t="str">
        <f t="shared" si="16"/>
        <v>C781</v>
      </c>
      <c r="J782" s="22"/>
    </row>
    <row r="783" spans="1:10" ht="16.5" customHeight="1">
      <c r="A783" s="42" t="str">
        <f t="shared" si="16"/>
        <v>C782</v>
      </c>
      <c r="J783" s="22"/>
    </row>
    <row r="784" spans="1:10" ht="16.5" customHeight="1">
      <c r="A784" s="42" t="str">
        <f t="shared" si="16"/>
        <v>C783</v>
      </c>
      <c r="J784" s="22"/>
    </row>
    <row r="785" spans="1:10" ht="16.5" customHeight="1">
      <c r="A785" s="42" t="str">
        <f t="shared" si="16"/>
        <v>C784</v>
      </c>
      <c r="J785" s="22"/>
    </row>
    <row r="786" spans="1:10" ht="16.5" customHeight="1">
      <c r="A786" s="42" t="str">
        <f t="shared" si="16"/>
        <v>C785</v>
      </c>
      <c r="J786" s="22"/>
    </row>
    <row r="787" spans="1:10" ht="16.5" customHeight="1">
      <c r="A787" s="42" t="str">
        <f t="shared" si="16"/>
        <v>C786</v>
      </c>
      <c r="J787" s="22"/>
    </row>
    <row r="788" spans="1:10" ht="16.5" customHeight="1">
      <c r="A788" s="42" t="str">
        <f t="shared" si="16"/>
        <v>C787</v>
      </c>
      <c r="J788" s="22"/>
    </row>
    <row r="789" spans="1:10" ht="16.5" customHeight="1">
      <c r="A789" s="42" t="str">
        <f t="shared" si="16"/>
        <v>C788</v>
      </c>
      <c r="J789" s="22"/>
    </row>
    <row r="790" spans="1:10" ht="16.5" customHeight="1">
      <c r="A790" s="42" t="str">
        <f t="shared" si="16"/>
        <v>C789</v>
      </c>
      <c r="J790" s="22"/>
    </row>
    <row r="791" spans="1:10" ht="16.5" customHeight="1">
      <c r="A791" s="42" t="str">
        <f t="shared" si="16"/>
        <v>C790</v>
      </c>
      <c r="J791" s="22"/>
    </row>
    <row r="792" spans="1:10" ht="16.5" customHeight="1">
      <c r="A792" s="42" t="str">
        <f t="shared" si="16"/>
        <v>C791</v>
      </c>
      <c r="J792" s="22"/>
    </row>
    <row r="793" spans="1:10" ht="16.5" customHeight="1">
      <c r="A793" s="42" t="str">
        <f t="shared" si="16"/>
        <v>C792</v>
      </c>
      <c r="J793" s="22"/>
    </row>
    <row r="794" spans="1:10" ht="16.5" customHeight="1">
      <c r="A794" s="42" t="str">
        <f t="shared" si="16"/>
        <v>C793</v>
      </c>
      <c r="J794" s="22"/>
    </row>
    <row r="795" spans="1:10" ht="16.5" customHeight="1">
      <c r="A795" s="42" t="str">
        <f t="shared" si="16"/>
        <v>C794</v>
      </c>
      <c r="J795" s="22"/>
    </row>
    <row r="796" spans="1:10" ht="16.5" customHeight="1">
      <c r="A796" s="42" t="str">
        <f t="shared" si="16"/>
        <v>C795</v>
      </c>
      <c r="J796" s="22"/>
    </row>
    <row r="797" spans="1:10" ht="16.5" customHeight="1">
      <c r="A797" s="42" t="str">
        <f t="shared" si="16"/>
        <v>C796</v>
      </c>
      <c r="J797" s="22"/>
    </row>
  </sheetData>
  <hyperlinks>
    <hyperlink ref="F2" r:id="rId1" xr:uid="{00000000-0004-0000-0100-000000000000}"/>
    <hyperlink ref="H2" r:id="rId2" xr:uid="{00000000-0004-0000-0100-000001000000}"/>
    <hyperlink ref="F3" r:id="rId3" xr:uid="{00000000-0004-0000-0100-000002000000}"/>
    <hyperlink ref="H3" r:id="rId4" xr:uid="{00000000-0004-0000-0100-000003000000}"/>
    <hyperlink ref="F4" r:id="rId5" xr:uid="{00000000-0004-0000-0100-000004000000}"/>
    <hyperlink ref="H4" r:id="rId6" xr:uid="{00000000-0004-0000-0100-000005000000}"/>
    <hyperlink ref="F5" r:id="rId7" xr:uid="{00000000-0004-0000-0100-000006000000}"/>
    <hyperlink ref="H5" r:id="rId8" xr:uid="{00000000-0004-0000-0100-000007000000}"/>
    <hyperlink ref="F6" r:id="rId9" xr:uid="{00000000-0004-0000-0100-000008000000}"/>
    <hyperlink ref="H6" r:id="rId10" xr:uid="{00000000-0004-0000-0100-000009000000}"/>
    <hyperlink ref="F7" r:id="rId11" xr:uid="{00000000-0004-0000-0100-00000A000000}"/>
    <hyperlink ref="H7" r:id="rId12" xr:uid="{00000000-0004-0000-0100-00000B000000}"/>
    <hyperlink ref="F8" r:id="rId13" xr:uid="{00000000-0004-0000-0100-00000C000000}"/>
    <hyperlink ref="H8" r:id="rId14" xr:uid="{00000000-0004-0000-0100-00000D000000}"/>
    <hyperlink ref="F9" r:id="rId15" xr:uid="{00000000-0004-0000-0100-00000E000000}"/>
    <hyperlink ref="H9" r:id="rId16" xr:uid="{00000000-0004-0000-0100-00000F000000}"/>
    <hyperlink ref="F10" r:id="rId17" xr:uid="{00000000-0004-0000-0100-000010000000}"/>
    <hyperlink ref="H10" r:id="rId18" xr:uid="{00000000-0004-0000-0100-000011000000}"/>
    <hyperlink ref="F11" r:id="rId19" xr:uid="{00000000-0004-0000-0100-000012000000}"/>
    <hyperlink ref="H11" r:id="rId20" xr:uid="{00000000-0004-0000-0100-000013000000}"/>
    <hyperlink ref="H12" r:id="rId21" xr:uid="{00000000-0004-0000-0100-000014000000}"/>
    <hyperlink ref="H13" r:id="rId22" xr:uid="{00000000-0004-0000-0100-000015000000}"/>
    <hyperlink ref="F14" r:id="rId23" xr:uid="{00000000-0004-0000-0100-000016000000}"/>
    <hyperlink ref="H14" r:id="rId24" xr:uid="{00000000-0004-0000-0100-000017000000}"/>
    <hyperlink ref="F15" r:id="rId25" xr:uid="{00000000-0004-0000-0100-000018000000}"/>
    <hyperlink ref="H15" r:id="rId26" xr:uid="{00000000-0004-0000-0100-000019000000}"/>
    <hyperlink ref="F16" r:id="rId27" xr:uid="{00000000-0004-0000-0100-00001A000000}"/>
    <hyperlink ref="H16" r:id="rId28" xr:uid="{00000000-0004-0000-0100-00001B000000}"/>
    <hyperlink ref="F17" r:id="rId29" xr:uid="{00000000-0004-0000-0100-00001C000000}"/>
    <hyperlink ref="F18" r:id="rId30" xr:uid="{00000000-0004-0000-0100-00001D000000}"/>
    <hyperlink ref="H18" r:id="rId31" xr:uid="{00000000-0004-0000-0100-00001E000000}"/>
    <hyperlink ref="F19" r:id="rId32" xr:uid="{00000000-0004-0000-0100-00001F000000}"/>
    <hyperlink ref="H19" r:id="rId33" xr:uid="{00000000-0004-0000-0100-000020000000}"/>
    <hyperlink ref="F20" r:id="rId34" xr:uid="{00000000-0004-0000-0100-000021000000}"/>
    <hyperlink ref="H20" r:id="rId35" xr:uid="{00000000-0004-0000-0100-000022000000}"/>
    <hyperlink ref="F21" r:id="rId36" xr:uid="{00000000-0004-0000-0100-000023000000}"/>
    <hyperlink ref="H21" r:id="rId37" xr:uid="{00000000-0004-0000-0100-000024000000}"/>
    <hyperlink ref="H22" r:id="rId38" xr:uid="{00000000-0004-0000-0100-000025000000}"/>
    <hyperlink ref="F23" r:id="rId39" xr:uid="{00000000-0004-0000-0100-000026000000}"/>
    <hyperlink ref="H23" r:id="rId40" xr:uid="{00000000-0004-0000-0100-000027000000}"/>
    <hyperlink ref="F24" r:id="rId41" xr:uid="{00000000-0004-0000-0100-000028000000}"/>
    <hyperlink ref="G24" r:id="rId42" display="cmaders@epec.com.ar" xr:uid="{00000000-0004-0000-0100-000029000000}"/>
    <hyperlink ref="H24" r:id="rId43" xr:uid="{00000000-0004-0000-0100-00002A000000}"/>
    <hyperlink ref="H25" r:id="rId44" xr:uid="{00000000-0004-0000-0100-00002B000000}"/>
    <hyperlink ref="F26" r:id="rId45" xr:uid="{00000000-0004-0000-0100-00002C000000}"/>
    <hyperlink ref="H26" r:id="rId46" xr:uid="{00000000-0004-0000-0100-00002D000000}"/>
    <hyperlink ref="H27" r:id="rId47" xr:uid="{00000000-0004-0000-0100-00002E000000}"/>
    <hyperlink ref="F28" r:id="rId48" xr:uid="{00000000-0004-0000-0100-00002F000000}"/>
    <hyperlink ref="H28" r:id="rId49" xr:uid="{00000000-0004-0000-0100-000030000000}"/>
    <hyperlink ref="F29" r:id="rId50" xr:uid="{00000000-0004-0000-0100-000031000000}"/>
    <hyperlink ref="H29" r:id="rId51" xr:uid="{00000000-0004-0000-0100-000032000000}"/>
    <hyperlink ref="H31" r:id="rId52" xr:uid="{00000000-0004-0000-0100-000033000000}"/>
    <hyperlink ref="F32" r:id="rId53" xr:uid="{00000000-0004-0000-0100-000034000000}"/>
    <hyperlink ref="H32" r:id="rId54" xr:uid="{00000000-0004-0000-0100-000035000000}"/>
    <hyperlink ref="F33" r:id="rId55" xr:uid="{00000000-0004-0000-0100-000036000000}"/>
    <hyperlink ref="H33" r:id="rId56" xr:uid="{00000000-0004-0000-0100-000037000000}"/>
    <hyperlink ref="F34" r:id="rId57" xr:uid="{00000000-0004-0000-0100-000038000000}"/>
    <hyperlink ref="H34" r:id="rId58" xr:uid="{00000000-0004-0000-0100-000039000000}"/>
    <hyperlink ref="F35" r:id="rId59" xr:uid="{00000000-0004-0000-0100-00003A000000}"/>
    <hyperlink ref="H35" r:id="rId60" xr:uid="{00000000-0004-0000-0100-00003B000000}"/>
    <hyperlink ref="F36" r:id="rId61" xr:uid="{00000000-0004-0000-0100-00003C000000}"/>
    <hyperlink ref="H36" r:id="rId62" xr:uid="{00000000-0004-0000-0100-00003D000000}"/>
    <hyperlink ref="F37" r:id="rId63" xr:uid="{00000000-0004-0000-0100-00003E000000}"/>
    <hyperlink ref="F38" r:id="rId64" xr:uid="{00000000-0004-0000-0100-00003F000000}"/>
    <hyperlink ref="H38" r:id="rId65" xr:uid="{00000000-0004-0000-0100-000040000000}"/>
    <hyperlink ref="F39" r:id="rId66" xr:uid="{00000000-0004-0000-0100-000041000000}"/>
    <hyperlink ref="H39" r:id="rId67" xr:uid="{00000000-0004-0000-0100-000042000000}"/>
    <hyperlink ref="F40" r:id="rId68" xr:uid="{00000000-0004-0000-0100-000043000000}"/>
    <hyperlink ref="H40" r:id="rId69" xr:uid="{00000000-0004-0000-0100-000044000000}"/>
    <hyperlink ref="F41" r:id="rId70" xr:uid="{00000000-0004-0000-0100-000045000000}"/>
    <hyperlink ref="H41" r:id="rId71" xr:uid="{00000000-0004-0000-0100-000046000000}"/>
    <hyperlink ref="H42" r:id="rId72" xr:uid="{00000000-0004-0000-0100-000047000000}"/>
    <hyperlink ref="H43" r:id="rId73" xr:uid="{00000000-0004-0000-0100-000048000000}"/>
    <hyperlink ref="F44" r:id="rId74" xr:uid="{00000000-0004-0000-0100-000049000000}"/>
    <hyperlink ref="H44" r:id="rId75" xr:uid="{00000000-0004-0000-0100-00004A000000}"/>
    <hyperlink ref="F45" r:id="rId76" xr:uid="{00000000-0004-0000-0100-00004B000000}"/>
    <hyperlink ref="H45" r:id="rId77" xr:uid="{00000000-0004-0000-0100-00004C000000}"/>
    <hyperlink ref="F46" r:id="rId78" xr:uid="{00000000-0004-0000-0100-00004D000000}"/>
    <hyperlink ref="H46" r:id="rId79" xr:uid="{00000000-0004-0000-0100-00004E000000}"/>
    <hyperlink ref="F47" r:id="rId80" xr:uid="{00000000-0004-0000-0100-00004F000000}"/>
    <hyperlink ref="H47" r:id="rId81" xr:uid="{00000000-0004-0000-0100-000050000000}"/>
    <hyperlink ref="F48" r:id="rId82" xr:uid="{00000000-0004-0000-0100-000051000000}"/>
    <hyperlink ref="H48" r:id="rId83" xr:uid="{00000000-0004-0000-0100-000052000000}"/>
    <hyperlink ref="F49" r:id="rId84" xr:uid="{00000000-0004-0000-0100-000053000000}"/>
    <hyperlink ref="H49" r:id="rId85" xr:uid="{00000000-0004-0000-0100-000054000000}"/>
    <hyperlink ref="F50" r:id="rId86" xr:uid="{00000000-0004-0000-0100-000055000000}"/>
    <hyperlink ref="H50" r:id="rId87" xr:uid="{00000000-0004-0000-0100-000056000000}"/>
    <hyperlink ref="F51" r:id="rId88" xr:uid="{00000000-0004-0000-0100-000057000000}"/>
    <hyperlink ref="H51" r:id="rId89" xr:uid="{00000000-0004-0000-0100-000058000000}"/>
    <hyperlink ref="F52" r:id="rId90" xr:uid="{00000000-0004-0000-0100-000059000000}"/>
    <hyperlink ref="H52" r:id="rId91" xr:uid="{00000000-0004-0000-0100-00005A000000}"/>
    <hyperlink ref="F53" r:id="rId92" xr:uid="{00000000-0004-0000-0100-00005B000000}"/>
    <hyperlink ref="H53" r:id="rId93" xr:uid="{00000000-0004-0000-0100-00005C000000}"/>
    <hyperlink ref="F54" r:id="rId94" xr:uid="{00000000-0004-0000-0100-00005D000000}"/>
    <hyperlink ref="H54" r:id="rId95" xr:uid="{00000000-0004-0000-0100-00005E000000}"/>
    <hyperlink ref="F55" r:id="rId96" xr:uid="{00000000-0004-0000-0100-00005F000000}"/>
    <hyperlink ref="H55" r:id="rId97" xr:uid="{00000000-0004-0000-0100-000060000000}"/>
    <hyperlink ref="H56" r:id="rId98" xr:uid="{00000000-0004-0000-0100-000061000000}"/>
    <hyperlink ref="F57" r:id="rId99" xr:uid="{00000000-0004-0000-0100-000062000000}"/>
    <hyperlink ref="H57" r:id="rId100" xr:uid="{00000000-0004-0000-0100-000063000000}"/>
    <hyperlink ref="F58" r:id="rId101" xr:uid="{00000000-0004-0000-0100-000064000000}"/>
    <hyperlink ref="H59" r:id="rId102" xr:uid="{00000000-0004-0000-0100-000065000000}"/>
    <hyperlink ref="F60" r:id="rId103" xr:uid="{00000000-0004-0000-0100-000066000000}"/>
    <hyperlink ref="H60" r:id="rId104" xr:uid="{00000000-0004-0000-0100-000067000000}"/>
    <hyperlink ref="F61" r:id="rId105" xr:uid="{00000000-0004-0000-0100-000068000000}"/>
    <hyperlink ref="H61" r:id="rId106" xr:uid="{00000000-0004-0000-0100-000069000000}"/>
    <hyperlink ref="F63" r:id="rId107" xr:uid="{00000000-0004-0000-0100-00006A000000}"/>
    <hyperlink ref="H63" r:id="rId108" xr:uid="{00000000-0004-0000-0100-00006B000000}"/>
    <hyperlink ref="F64" r:id="rId109" xr:uid="{00000000-0004-0000-0100-00006C000000}"/>
    <hyperlink ref="H64" r:id="rId110" xr:uid="{00000000-0004-0000-0100-00006D000000}"/>
    <hyperlink ref="F65" r:id="rId111" xr:uid="{00000000-0004-0000-0100-00006E000000}"/>
    <hyperlink ref="H65" r:id="rId112" xr:uid="{00000000-0004-0000-0100-00006F000000}"/>
    <hyperlink ref="F66" r:id="rId113" xr:uid="{00000000-0004-0000-0100-000070000000}"/>
    <hyperlink ref="H66" r:id="rId114" xr:uid="{00000000-0004-0000-0100-000071000000}"/>
    <hyperlink ref="F67" r:id="rId115" xr:uid="{00000000-0004-0000-0100-000072000000}"/>
    <hyperlink ref="H67" r:id="rId116" xr:uid="{00000000-0004-0000-0100-000073000000}"/>
    <hyperlink ref="H68" r:id="rId117" xr:uid="{00000000-0004-0000-0100-000074000000}"/>
    <hyperlink ref="H69" r:id="rId118" xr:uid="{00000000-0004-0000-0100-000075000000}"/>
    <hyperlink ref="H70" r:id="rId119" xr:uid="{00000000-0004-0000-0100-000076000000}"/>
    <hyperlink ref="F71" r:id="rId120" xr:uid="{00000000-0004-0000-0100-000077000000}"/>
    <hyperlink ref="H71" r:id="rId121" xr:uid="{00000000-0004-0000-0100-000078000000}"/>
    <hyperlink ref="H72" r:id="rId122" xr:uid="{00000000-0004-0000-0100-000079000000}"/>
    <hyperlink ref="F73" r:id="rId123" xr:uid="{00000000-0004-0000-0100-00007A000000}"/>
    <hyperlink ref="F74" r:id="rId124" xr:uid="{00000000-0004-0000-0100-00007B000000}"/>
    <hyperlink ref="F75" r:id="rId125" xr:uid="{00000000-0004-0000-0100-00007C000000}"/>
    <hyperlink ref="G75" r:id="rId126" xr:uid="{00000000-0004-0000-0100-00007D000000}"/>
    <hyperlink ref="F76" r:id="rId127" xr:uid="{00000000-0004-0000-0100-00007E000000}"/>
    <hyperlink ref="H78" r:id="rId128" xr:uid="{00000000-0004-0000-0100-00007F000000}"/>
    <hyperlink ref="F79" r:id="rId129" xr:uid="{00000000-0004-0000-0100-000080000000}"/>
    <hyperlink ref="H79" r:id="rId130" xr:uid="{00000000-0004-0000-0100-000081000000}"/>
    <hyperlink ref="H80" r:id="rId131" xr:uid="{00000000-0004-0000-0100-000082000000}"/>
    <hyperlink ref="F81" r:id="rId132" xr:uid="{00000000-0004-0000-0100-000083000000}"/>
    <hyperlink ref="H81" r:id="rId133" xr:uid="{00000000-0004-0000-0100-000084000000}"/>
    <hyperlink ref="N82" r:id="rId134" xr:uid="{00000000-0004-0000-0100-000085000000}"/>
    <hyperlink ref="F84" r:id="rId135" xr:uid="{00000000-0004-0000-0100-000086000000}"/>
    <hyperlink ref="F85" r:id="rId136" xr:uid="{00000000-0004-0000-0100-000087000000}"/>
    <hyperlink ref="H86" r:id="rId137" xr:uid="{00000000-0004-0000-0100-000088000000}"/>
    <hyperlink ref="F88" r:id="rId138" xr:uid="{00000000-0004-0000-0100-000089000000}"/>
    <hyperlink ref="F89" r:id="rId139" xr:uid="{00000000-0004-0000-0100-00008A000000}"/>
    <hyperlink ref="M89" r:id="rId140" xr:uid="{00000000-0004-0000-0100-00008B000000}"/>
    <hyperlink ref="N89" r:id="rId141" xr:uid="{00000000-0004-0000-0100-00008C000000}"/>
    <hyperlink ref="F91" r:id="rId142" xr:uid="{00000000-0004-0000-0100-00008D000000}"/>
    <hyperlink ref="F92" r:id="rId143" xr:uid="{00000000-0004-0000-0100-00008E000000}"/>
    <hyperlink ref="H93" r:id="rId144" xr:uid="{00000000-0004-0000-0100-00008F000000}"/>
    <hyperlink ref="F95" r:id="rId145" xr:uid="{00000000-0004-0000-0100-000090000000}"/>
    <hyperlink ref="H95" r:id="rId146" xr:uid="{00000000-0004-0000-0100-000091000000}"/>
    <hyperlink ref="F96" r:id="rId147" xr:uid="{00000000-0004-0000-0100-000092000000}"/>
    <hyperlink ref="H96" r:id="rId148" xr:uid="{00000000-0004-0000-0100-000093000000}"/>
    <hyperlink ref="H97" r:id="rId149" xr:uid="{00000000-0004-0000-0100-000094000000}"/>
    <hyperlink ref="H98" r:id="rId150" xr:uid="{00000000-0004-0000-0100-000095000000}"/>
    <hyperlink ref="F99" r:id="rId151" xr:uid="{00000000-0004-0000-0100-000096000000}"/>
    <hyperlink ref="H99" r:id="rId152" xr:uid="{00000000-0004-0000-0100-000097000000}"/>
    <hyperlink ref="H100" r:id="rId153" xr:uid="{00000000-0004-0000-0100-000098000000}"/>
    <hyperlink ref="F101" r:id="rId154" xr:uid="{00000000-0004-0000-0100-000099000000}"/>
    <hyperlink ref="H101" r:id="rId155" xr:uid="{00000000-0004-0000-0100-00009A000000}"/>
    <hyperlink ref="F102" r:id="rId156" xr:uid="{00000000-0004-0000-0100-00009B000000}"/>
    <hyperlink ref="H102" r:id="rId157" xr:uid="{00000000-0004-0000-0100-00009C000000}"/>
    <hyperlink ref="F103" r:id="rId158" xr:uid="{00000000-0004-0000-0100-00009D000000}"/>
    <hyperlink ref="H103" r:id="rId159" xr:uid="{00000000-0004-0000-0100-00009E000000}"/>
    <hyperlink ref="F104" r:id="rId160" xr:uid="{00000000-0004-0000-0100-00009F000000}"/>
    <hyperlink ref="H104" r:id="rId161" xr:uid="{00000000-0004-0000-0100-0000A0000000}"/>
    <hyperlink ref="F108" r:id="rId162" xr:uid="{00000000-0004-0000-0100-0000A1000000}"/>
    <hyperlink ref="F109" r:id="rId163" xr:uid="{00000000-0004-0000-0100-0000A2000000}"/>
    <hyperlink ref="F110" r:id="rId164" xr:uid="{00000000-0004-0000-0100-0000A3000000}"/>
    <hyperlink ref="H110" r:id="rId165" xr:uid="{00000000-0004-0000-0100-0000A4000000}"/>
    <hyperlink ref="F111" r:id="rId166" xr:uid="{00000000-0004-0000-0100-0000A5000000}"/>
    <hyperlink ref="H111" r:id="rId167" xr:uid="{00000000-0004-0000-0100-0000A6000000}"/>
    <hyperlink ref="H112" r:id="rId168" xr:uid="{00000000-0004-0000-0100-0000A7000000}"/>
    <hyperlink ref="F113" r:id="rId169" xr:uid="{00000000-0004-0000-0100-0000A8000000}"/>
    <hyperlink ref="F114" r:id="rId170" xr:uid="{00000000-0004-0000-0100-0000A9000000}"/>
    <hyperlink ref="H119" r:id="rId171" xr:uid="{00000000-0004-0000-0100-0000AA000000}"/>
    <hyperlink ref="F120" r:id="rId172" xr:uid="{00000000-0004-0000-0100-0000AB000000}"/>
    <hyperlink ref="F123" r:id="rId173" xr:uid="{00000000-0004-0000-0100-0000AC000000}"/>
    <hyperlink ref="F124" r:id="rId174" xr:uid="{00000000-0004-0000-0100-0000AD000000}"/>
    <hyperlink ref="H126" r:id="rId175" xr:uid="{00000000-0004-0000-0100-0000AE000000}"/>
    <hyperlink ref="F129" r:id="rId176" xr:uid="{00000000-0004-0000-0100-0000AF000000}"/>
    <hyperlink ref="M129" r:id="rId177" xr:uid="{00000000-0004-0000-0100-0000B0000000}"/>
    <hyperlink ref="H130" r:id="rId178" xr:uid="{00000000-0004-0000-0100-0000B1000000}"/>
    <hyperlink ref="H131" r:id="rId179" xr:uid="{00000000-0004-0000-0100-0000B2000000}"/>
    <hyperlink ref="F132" r:id="rId180" xr:uid="{00000000-0004-0000-0100-0000B3000000}"/>
    <hyperlink ref="F133" r:id="rId181" xr:uid="{00000000-0004-0000-0100-0000B4000000}"/>
    <hyperlink ref="F138" r:id="rId182" xr:uid="{00000000-0004-0000-0100-0000B5000000}"/>
    <hyperlink ref="H138" r:id="rId183" xr:uid="{00000000-0004-0000-0100-0000B6000000}"/>
    <hyperlink ref="H139" r:id="rId184" xr:uid="{00000000-0004-0000-0100-0000B7000000}"/>
    <hyperlink ref="F140" r:id="rId185" xr:uid="{00000000-0004-0000-0100-0000B8000000}"/>
    <hyperlink ref="H140" r:id="rId186" xr:uid="{00000000-0004-0000-0100-0000B9000000}"/>
    <hyperlink ref="H141" r:id="rId187" xr:uid="{00000000-0004-0000-0100-0000BA000000}"/>
    <hyperlink ref="H142" r:id="rId188" xr:uid="{00000000-0004-0000-0100-0000BB000000}"/>
    <hyperlink ref="H143" r:id="rId189" xr:uid="{00000000-0004-0000-0100-0000BC000000}"/>
    <hyperlink ref="H144" r:id="rId190" xr:uid="{00000000-0004-0000-0100-0000BD000000}"/>
    <hyperlink ref="F146" r:id="rId191" xr:uid="{00000000-0004-0000-0100-0000BE000000}"/>
    <hyperlink ref="H147" r:id="rId192" xr:uid="{00000000-0004-0000-0100-0000BF000000}"/>
    <hyperlink ref="F148" r:id="rId193" xr:uid="{00000000-0004-0000-0100-0000C0000000}"/>
    <hyperlink ref="H148" r:id="rId194" xr:uid="{00000000-0004-0000-0100-0000C1000000}"/>
    <hyperlink ref="H149" r:id="rId195" xr:uid="{00000000-0004-0000-0100-0000C2000000}"/>
    <hyperlink ref="F150" r:id="rId196" xr:uid="{00000000-0004-0000-0100-0000C3000000}"/>
    <hyperlink ref="H150" r:id="rId197" xr:uid="{00000000-0004-0000-0100-0000C4000000}"/>
    <hyperlink ref="H151" r:id="rId198" xr:uid="{00000000-0004-0000-0100-0000C5000000}"/>
    <hyperlink ref="H152" r:id="rId199" xr:uid="{00000000-0004-0000-0100-0000C6000000}"/>
    <hyperlink ref="H153" r:id="rId200" xr:uid="{00000000-0004-0000-0100-0000C7000000}"/>
    <hyperlink ref="M153" r:id="rId201" xr:uid="{00000000-0004-0000-0100-0000C8000000}"/>
    <hyperlink ref="H154" r:id="rId202" xr:uid="{00000000-0004-0000-0100-0000C9000000}"/>
    <hyperlink ref="H155" r:id="rId203" xr:uid="{00000000-0004-0000-0100-0000CA000000}"/>
    <hyperlink ref="H156" r:id="rId204" xr:uid="{00000000-0004-0000-0100-0000CB000000}"/>
    <hyperlink ref="H157" r:id="rId205" xr:uid="{00000000-0004-0000-0100-0000CC000000}"/>
    <hyperlink ref="H158" r:id="rId206" xr:uid="{00000000-0004-0000-0100-0000CD000000}"/>
    <hyperlink ref="H159" r:id="rId207" xr:uid="{00000000-0004-0000-0100-0000CE000000}"/>
    <hyperlink ref="H160" r:id="rId208" xr:uid="{00000000-0004-0000-0100-0000CF000000}"/>
    <hyperlink ref="F161" r:id="rId209" xr:uid="{00000000-0004-0000-0100-0000D0000000}"/>
    <hyperlink ref="F162" r:id="rId210" xr:uid="{00000000-0004-0000-0100-0000D1000000}"/>
    <hyperlink ref="F163" r:id="rId211" xr:uid="{00000000-0004-0000-0100-0000D2000000}"/>
    <hyperlink ref="F164" r:id="rId212" xr:uid="{00000000-0004-0000-0100-0000D3000000}"/>
    <hyperlink ref="H164" r:id="rId213" xr:uid="{00000000-0004-0000-0100-0000D4000000}"/>
    <hyperlink ref="H165" r:id="rId214" xr:uid="{00000000-0004-0000-0100-0000D5000000}"/>
    <hyperlink ref="F166" r:id="rId215" xr:uid="{00000000-0004-0000-0100-0000D6000000}"/>
    <hyperlink ref="H166" r:id="rId216" xr:uid="{00000000-0004-0000-0100-0000D7000000}"/>
    <hyperlink ref="H167" r:id="rId217" xr:uid="{00000000-0004-0000-0100-0000D8000000}"/>
    <hyperlink ref="F170" r:id="rId218" xr:uid="{00000000-0004-0000-0100-0000D9000000}"/>
    <hyperlink ref="H170" r:id="rId219" xr:uid="{00000000-0004-0000-0100-0000DA000000}"/>
    <hyperlink ref="H171" r:id="rId220" xr:uid="{00000000-0004-0000-0100-0000DB000000}"/>
    <hyperlink ref="H172" r:id="rId221" xr:uid="{00000000-0004-0000-0100-0000DC000000}"/>
    <hyperlink ref="H173" r:id="rId222" xr:uid="{00000000-0004-0000-0100-0000DD000000}"/>
    <hyperlink ref="H174" r:id="rId223" xr:uid="{00000000-0004-0000-0100-0000DE000000}"/>
    <hyperlink ref="H175" r:id="rId224" xr:uid="{00000000-0004-0000-0100-0000DF000000}"/>
    <hyperlink ref="H176" r:id="rId225" xr:uid="{00000000-0004-0000-0100-0000E0000000}"/>
    <hyperlink ref="H177" r:id="rId226" xr:uid="{00000000-0004-0000-0100-0000E1000000}"/>
    <hyperlink ref="F178" r:id="rId227" xr:uid="{00000000-0004-0000-0100-0000E2000000}"/>
    <hyperlink ref="H178" r:id="rId228" xr:uid="{00000000-0004-0000-0100-0000E3000000}"/>
    <hyperlink ref="G179" r:id="rId229" display="fernando.marchesin@dls-archer.com" xr:uid="{00000000-0004-0000-0100-0000E4000000}"/>
    <hyperlink ref="H179" r:id="rId230" xr:uid="{00000000-0004-0000-0100-0000E5000000}"/>
    <hyperlink ref="H180" r:id="rId231" xr:uid="{00000000-0004-0000-0100-0000E6000000}"/>
    <hyperlink ref="H182" r:id="rId232" xr:uid="{00000000-0004-0000-0100-0000E7000000}"/>
    <hyperlink ref="H183" r:id="rId233" xr:uid="{00000000-0004-0000-0100-0000E8000000}"/>
    <hyperlink ref="H184" r:id="rId234" xr:uid="{00000000-0004-0000-0100-0000E9000000}"/>
    <hyperlink ref="H185" r:id="rId235" xr:uid="{00000000-0004-0000-0100-0000EA000000}"/>
    <hyperlink ref="H186" r:id="rId236" xr:uid="{00000000-0004-0000-0100-0000EB000000}"/>
    <hyperlink ref="H187" r:id="rId237" xr:uid="{00000000-0004-0000-0100-0000EC000000}"/>
    <hyperlink ref="H188" r:id="rId238" xr:uid="{00000000-0004-0000-0100-0000ED000000}"/>
    <hyperlink ref="H189" r:id="rId239" xr:uid="{00000000-0004-0000-0100-0000EE000000}"/>
    <hyperlink ref="H190" r:id="rId240" xr:uid="{00000000-0004-0000-0100-0000EF000000}"/>
    <hyperlink ref="F191" r:id="rId241" xr:uid="{00000000-0004-0000-0100-0000F0000000}"/>
    <hyperlink ref="H192" r:id="rId242" xr:uid="{00000000-0004-0000-0100-0000F1000000}"/>
    <hyperlink ref="H193" r:id="rId243" xr:uid="{00000000-0004-0000-0100-0000F2000000}"/>
    <hyperlink ref="F195" r:id="rId244" xr:uid="{00000000-0004-0000-0100-0000F3000000}"/>
    <hyperlink ref="H195" r:id="rId245" xr:uid="{00000000-0004-0000-0100-0000F4000000}"/>
    <hyperlink ref="F196" r:id="rId246" xr:uid="{00000000-0004-0000-0100-0000F5000000}"/>
    <hyperlink ref="H196" r:id="rId247" xr:uid="{00000000-0004-0000-0100-0000F6000000}"/>
    <hyperlink ref="H197" r:id="rId248" xr:uid="{00000000-0004-0000-0100-0000F7000000}"/>
    <hyperlink ref="H198" r:id="rId249" xr:uid="{00000000-0004-0000-0100-0000F8000000}"/>
    <hyperlink ref="H199" r:id="rId250" xr:uid="{00000000-0004-0000-0100-0000F9000000}"/>
    <hyperlink ref="H200" r:id="rId251" xr:uid="{00000000-0004-0000-0100-0000FA000000}"/>
    <hyperlink ref="F201" r:id="rId252" xr:uid="{00000000-0004-0000-0100-0000FB000000}"/>
    <hyperlink ref="H201" r:id="rId253" xr:uid="{00000000-0004-0000-0100-0000FC000000}"/>
    <hyperlink ref="F202" r:id="rId254" xr:uid="{00000000-0004-0000-0100-0000FD000000}"/>
    <hyperlink ref="H202" r:id="rId255" xr:uid="{00000000-0004-0000-0100-0000FE000000}"/>
    <hyperlink ref="F203" r:id="rId256" xr:uid="{00000000-0004-0000-0100-0000FF000000}"/>
    <hyperlink ref="H203" r:id="rId257" xr:uid="{00000000-0004-0000-0100-000000010000}"/>
    <hyperlink ref="H204" r:id="rId258" xr:uid="{00000000-0004-0000-0100-000001010000}"/>
    <hyperlink ref="H205" r:id="rId259" xr:uid="{00000000-0004-0000-0100-000002010000}"/>
    <hyperlink ref="F206" r:id="rId260" xr:uid="{00000000-0004-0000-0100-000003010000}"/>
    <hyperlink ref="H206" r:id="rId261" xr:uid="{00000000-0004-0000-0100-000004010000}"/>
    <hyperlink ref="H207" r:id="rId262" xr:uid="{00000000-0004-0000-0100-000005010000}"/>
    <hyperlink ref="H208" r:id="rId263" xr:uid="{00000000-0004-0000-0100-000006010000}"/>
    <hyperlink ref="H209" r:id="rId264" xr:uid="{00000000-0004-0000-0100-000007010000}"/>
    <hyperlink ref="H210" r:id="rId265" xr:uid="{00000000-0004-0000-0100-000008010000}"/>
    <hyperlink ref="H211" r:id="rId266" xr:uid="{00000000-0004-0000-0100-000009010000}"/>
    <hyperlink ref="H212" r:id="rId267" xr:uid="{00000000-0004-0000-0100-00000A010000}"/>
    <hyperlink ref="H213" r:id="rId268" xr:uid="{00000000-0004-0000-0100-00000B010000}"/>
    <hyperlink ref="H214" r:id="rId269" xr:uid="{00000000-0004-0000-0100-00000C010000}"/>
    <hyperlink ref="F215" r:id="rId270" xr:uid="{00000000-0004-0000-0100-00000D010000}"/>
    <hyperlink ref="H216" r:id="rId271" xr:uid="{00000000-0004-0000-0100-00000E010000}"/>
    <hyperlink ref="F218" r:id="rId272" xr:uid="{00000000-0004-0000-0100-00000F010000}"/>
    <hyperlink ref="F219" r:id="rId273" xr:uid="{00000000-0004-0000-0100-000010010000}"/>
    <hyperlink ref="F220" r:id="rId274" xr:uid="{00000000-0004-0000-0100-000011010000}"/>
    <hyperlink ref="H220" r:id="rId275" xr:uid="{00000000-0004-0000-0100-000012010000}"/>
    <hyperlink ref="F221" r:id="rId276" xr:uid="{00000000-0004-0000-0100-000013010000}"/>
    <hyperlink ref="H221" r:id="rId277" xr:uid="{00000000-0004-0000-0100-000014010000}"/>
    <hyperlink ref="H222" r:id="rId278" xr:uid="{00000000-0004-0000-0100-000015010000}"/>
    <hyperlink ref="F223" r:id="rId279" xr:uid="{00000000-0004-0000-0100-000016010000}"/>
    <hyperlink ref="H223" r:id="rId280" xr:uid="{00000000-0004-0000-0100-000017010000}"/>
    <hyperlink ref="H224" r:id="rId281" xr:uid="{00000000-0004-0000-0100-000018010000}"/>
    <hyperlink ref="F225" r:id="rId282" xr:uid="{00000000-0004-0000-0100-000019010000}"/>
    <hyperlink ref="H227" r:id="rId283" xr:uid="{00000000-0004-0000-0100-00001A010000}"/>
    <hyperlink ref="H229" r:id="rId284" xr:uid="{00000000-0004-0000-0100-00001B010000}"/>
    <hyperlink ref="H230" r:id="rId285" xr:uid="{00000000-0004-0000-0100-00001C010000}"/>
    <hyperlink ref="F231" r:id="rId286" xr:uid="{00000000-0004-0000-0100-00001D010000}"/>
    <hyperlink ref="H231" r:id="rId287" xr:uid="{00000000-0004-0000-0100-00001E010000}"/>
    <hyperlink ref="H232" r:id="rId288" xr:uid="{00000000-0004-0000-0100-00001F010000}"/>
    <hyperlink ref="H233" r:id="rId289" xr:uid="{00000000-0004-0000-0100-000020010000}"/>
    <hyperlink ref="H234" r:id="rId290" xr:uid="{00000000-0004-0000-0100-000021010000}"/>
    <hyperlink ref="H235" r:id="rId291" xr:uid="{00000000-0004-0000-0100-000022010000}"/>
    <hyperlink ref="H236" r:id="rId292" xr:uid="{00000000-0004-0000-0100-000023010000}"/>
    <hyperlink ref="F237" r:id="rId293" xr:uid="{00000000-0004-0000-0100-000024010000}"/>
    <hyperlink ref="H237" r:id="rId294" xr:uid="{00000000-0004-0000-0100-000025010000}"/>
    <hyperlink ref="F238" r:id="rId295" xr:uid="{00000000-0004-0000-0100-000026010000}"/>
    <hyperlink ref="H238" r:id="rId296" xr:uid="{00000000-0004-0000-0100-000027010000}"/>
    <hyperlink ref="F239" r:id="rId297" xr:uid="{00000000-0004-0000-0100-000028010000}"/>
    <hyperlink ref="H239" r:id="rId298" xr:uid="{00000000-0004-0000-0100-000029010000}"/>
    <hyperlink ref="H240" r:id="rId299" xr:uid="{00000000-0004-0000-0100-00002A010000}"/>
    <hyperlink ref="H241" r:id="rId300" xr:uid="{00000000-0004-0000-0100-00002B010000}"/>
    <hyperlink ref="H242" r:id="rId301" xr:uid="{00000000-0004-0000-0100-00002C010000}"/>
    <hyperlink ref="H243" r:id="rId302" xr:uid="{00000000-0004-0000-0100-00002D010000}"/>
    <hyperlink ref="H245" r:id="rId303" xr:uid="{00000000-0004-0000-0100-00002E010000}"/>
    <hyperlink ref="F246" r:id="rId304" xr:uid="{00000000-0004-0000-0100-00002F010000}"/>
    <hyperlink ref="H246" r:id="rId305" xr:uid="{00000000-0004-0000-0100-000030010000}"/>
    <hyperlink ref="H247" r:id="rId306" xr:uid="{00000000-0004-0000-0100-000031010000}"/>
    <hyperlink ref="H248" r:id="rId307" xr:uid="{00000000-0004-0000-0100-000032010000}"/>
    <hyperlink ref="H249" r:id="rId308" xr:uid="{00000000-0004-0000-0100-000033010000}"/>
    <hyperlink ref="H250" r:id="rId309" xr:uid="{00000000-0004-0000-0100-000034010000}"/>
    <hyperlink ref="H252" r:id="rId310" xr:uid="{00000000-0004-0000-0100-000035010000}"/>
    <hyperlink ref="H253" r:id="rId311" xr:uid="{00000000-0004-0000-0100-000036010000}"/>
    <hyperlink ref="F254" r:id="rId312" xr:uid="{00000000-0004-0000-0100-000037010000}"/>
    <hyperlink ref="H254" r:id="rId313" xr:uid="{00000000-0004-0000-0100-000038010000}"/>
    <hyperlink ref="F256" r:id="rId314" xr:uid="{00000000-0004-0000-0100-000039010000}"/>
    <hyperlink ref="H257" r:id="rId315" xr:uid="{00000000-0004-0000-0100-00003A010000}"/>
    <hyperlink ref="F258" r:id="rId316" xr:uid="{00000000-0004-0000-0100-00003B010000}"/>
    <hyperlink ref="H258" r:id="rId317" xr:uid="{00000000-0004-0000-0100-00003C010000}"/>
    <hyperlink ref="H259" r:id="rId318" xr:uid="{00000000-0004-0000-0100-00003D010000}"/>
    <hyperlink ref="H260" r:id="rId319" xr:uid="{00000000-0004-0000-0100-00003E010000}"/>
    <hyperlink ref="H261" r:id="rId320" xr:uid="{00000000-0004-0000-0100-00003F010000}"/>
    <hyperlink ref="H262" r:id="rId321" xr:uid="{00000000-0004-0000-0100-000040010000}"/>
    <hyperlink ref="H263" r:id="rId322" xr:uid="{00000000-0004-0000-0100-000041010000}"/>
    <hyperlink ref="H264" r:id="rId323" xr:uid="{00000000-0004-0000-0100-000042010000}"/>
    <hyperlink ref="H265" r:id="rId324" xr:uid="{00000000-0004-0000-0100-000043010000}"/>
    <hyperlink ref="F266" r:id="rId325" xr:uid="{00000000-0004-0000-0100-000044010000}"/>
    <hyperlink ref="H266" r:id="rId326" xr:uid="{00000000-0004-0000-0100-000045010000}"/>
    <hyperlink ref="H269" r:id="rId327" xr:uid="{00000000-0004-0000-0100-000046010000}"/>
    <hyperlink ref="F270" r:id="rId328" xr:uid="{00000000-0004-0000-0100-000047010000}"/>
    <hyperlink ref="H270" r:id="rId329" xr:uid="{00000000-0004-0000-0100-000048010000}"/>
    <hyperlink ref="F271" r:id="rId330" xr:uid="{00000000-0004-0000-0100-000049010000}"/>
    <hyperlink ref="H271" r:id="rId331" xr:uid="{00000000-0004-0000-0100-00004A010000}"/>
    <hyperlink ref="F277" r:id="rId332" xr:uid="{00000000-0004-0000-0100-00004B010000}"/>
    <hyperlink ref="H301" r:id="rId333" xr:uid="{00000000-0004-0000-0100-00004C010000}"/>
    <hyperlink ref="H308" r:id="rId334" xr:uid="{00000000-0004-0000-0100-00004D010000}"/>
    <hyperlink ref="H309" r:id="rId335" xr:uid="{00000000-0004-0000-0100-00004E010000}"/>
    <hyperlink ref="H310" r:id="rId336" xr:uid="{00000000-0004-0000-0100-00004F010000}"/>
    <hyperlink ref="F311" r:id="rId337" xr:uid="{00000000-0004-0000-0100-000050010000}"/>
    <hyperlink ref="H311" r:id="rId338" xr:uid="{00000000-0004-0000-0100-000051010000}"/>
    <hyperlink ref="H317" r:id="rId339" xr:uid="{00000000-0004-0000-0100-000052010000}"/>
    <hyperlink ref="H318" r:id="rId340" xr:uid="{00000000-0004-0000-0100-000053010000}"/>
    <hyperlink ref="F319" r:id="rId341" xr:uid="{00000000-0004-0000-0100-000054010000}"/>
    <hyperlink ref="H319" r:id="rId342" xr:uid="{00000000-0004-0000-0100-000055010000}"/>
    <hyperlink ref="H320" r:id="rId343" xr:uid="{00000000-0004-0000-0100-000056010000}"/>
    <hyperlink ref="F321" r:id="rId344" xr:uid="{00000000-0004-0000-0100-000057010000}"/>
    <hyperlink ref="H321" r:id="rId345" xr:uid="{00000000-0004-0000-0100-000058010000}"/>
    <hyperlink ref="H322" r:id="rId346" xr:uid="{00000000-0004-0000-0100-000059010000}"/>
    <hyperlink ref="H323" r:id="rId347" xr:uid="{00000000-0004-0000-0100-00005A010000}"/>
    <hyperlink ref="F324" r:id="rId348" xr:uid="{00000000-0004-0000-0100-00005B010000}"/>
    <hyperlink ref="H324" r:id="rId349" xr:uid="{00000000-0004-0000-0100-00005C010000}"/>
    <hyperlink ref="H325" r:id="rId350" xr:uid="{00000000-0004-0000-0100-00005D010000}"/>
    <hyperlink ref="H326" r:id="rId351" xr:uid="{00000000-0004-0000-0100-00005E010000}"/>
    <hyperlink ref="H327" r:id="rId352" xr:uid="{00000000-0004-0000-0100-00005F010000}"/>
    <hyperlink ref="F328" r:id="rId353" xr:uid="{00000000-0004-0000-0100-000060010000}"/>
    <hyperlink ref="H328" r:id="rId354" xr:uid="{00000000-0004-0000-0100-000061010000}"/>
    <hyperlink ref="F329" r:id="rId355" xr:uid="{00000000-0004-0000-0100-000062010000}"/>
    <hyperlink ref="H329" r:id="rId356" xr:uid="{00000000-0004-0000-0100-000063010000}"/>
    <hyperlink ref="H330" r:id="rId357" xr:uid="{00000000-0004-0000-0100-000064010000}"/>
    <hyperlink ref="H331" r:id="rId358" xr:uid="{00000000-0004-0000-0100-000065010000}"/>
    <hyperlink ref="H333" r:id="rId359" xr:uid="{00000000-0004-0000-0100-000066010000}"/>
    <hyperlink ref="H334" r:id="rId360" xr:uid="{00000000-0004-0000-0100-000067010000}"/>
    <hyperlink ref="H335" r:id="rId361" xr:uid="{00000000-0004-0000-0100-000068010000}"/>
    <hyperlink ref="H337" r:id="rId362" xr:uid="{00000000-0004-0000-0100-000069010000}"/>
    <hyperlink ref="H338" r:id="rId363" xr:uid="{00000000-0004-0000-0100-00006A010000}"/>
    <hyperlink ref="H339" r:id="rId364" xr:uid="{00000000-0004-0000-0100-00006B010000}"/>
    <hyperlink ref="H340" r:id="rId365" xr:uid="{00000000-0004-0000-0100-00006C010000}"/>
    <hyperlink ref="F344" r:id="rId366" xr:uid="{00000000-0004-0000-0100-00006D010000}"/>
    <hyperlink ref="H345" r:id="rId367" xr:uid="{00000000-0004-0000-0100-00006E010000}"/>
    <hyperlink ref="H346" r:id="rId368" xr:uid="{00000000-0004-0000-0100-00006F010000}"/>
    <hyperlink ref="H347" r:id="rId369" xr:uid="{00000000-0004-0000-0100-000070010000}"/>
    <hyperlink ref="H348" r:id="rId370" xr:uid="{00000000-0004-0000-0100-000071010000}"/>
    <hyperlink ref="H349" r:id="rId371" xr:uid="{00000000-0004-0000-0100-000072010000}"/>
    <hyperlink ref="H350" r:id="rId372" xr:uid="{00000000-0004-0000-0100-000073010000}"/>
    <hyperlink ref="H351" r:id="rId373" xr:uid="{00000000-0004-0000-0100-000074010000}"/>
    <hyperlink ref="H352" r:id="rId374" xr:uid="{00000000-0004-0000-0100-000075010000}"/>
    <hyperlink ref="H353" r:id="rId375" xr:uid="{00000000-0004-0000-0100-000076010000}"/>
    <hyperlink ref="H354" r:id="rId376" xr:uid="{00000000-0004-0000-0100-000077010000}"/>
    <hyperlink ref="H355" r:id="rId377" xr:uid="{00000000-0004-0000-0100-000078010000}"/>
    <hyperlink ref="H356" r:id="rId378" xr:uid="{00000000-0004-0000-0100-000079010000}"/>
    <hyperlink ref="H357" r:id="rId379" xr:uid="{00000000-0004-0000-0100-00007A010000}"/>
    <hyperlink ref="H358" r:id="rId380" xr:uid="{00000000-0004-0000-0100-00007B010000}"/>
    <hyperlink ref="H359" r:id="rId381" xr:uid="{00000000-0004-0000-0100-00007C010000}"/>
    <hyperlink ref="H360" r:id="rId382" xr:uid="{00000000-0004-0000-0100-00007D010000}"/>
    <hyperlink ref="H361" r:id="rId383" xr:uid="{00000000-0004-0000-0100-00007E010000}"/>
    <hyperlink ref="H363" r:id="rId384" xr:uid="{00000000-0004-0000-0100-00007F010000}"/>
    <hyperlink ref="H364" r:id="rId385" xr:uid="{00000000-0004-0000-0100-000080010000}"/>
    <hyperlink ref="F365" r:id="rId386" xr:uid="{00000000-0004-0000-0100-000081010000}"/>
    <hyperlink ref="H365" r:id="rId387" xr:uid="{00000000-0004-0000-0100-000082010000}"/>
    <hyperlink ref="F366" r:id="rId388" xr:uid="{00000000-0004-0000-0100-000083010000}"/>
    <hyperlink ref="H367" r:id="rId389" xr:uid="{00000000-0004-0000-0100-000084010000}"/>
    <hyperlink ref="H368" r:id="rId390" xr:uid="{00000000-0004-0000-0100-000085010000}"/>
    <hyperlink ref="H369" r:id="rId391" xr:uid="{00000000-0004-0000-0100-000086010000}"/>
    <hyperlink ref="H370" r:id="rId392" xr:uid="{00000000-0004-0000-0100-000087010000}"/>
    <hyperlink ref="H371" r:id="rId393" xr:uid="{00000000-0004-0000-0100-000088010000}"/>
    <hyperlink ref="H372" r:id="rId394" xr:uid="{00000000-0004-0000-0100-000089010000}"/>
    <hyperlink ref="H373" r:id="rId395" xr:uid="{00000000-0004-0000-0100-00008A010000}"/>
    <hyperlink ref="H374" r:id="rId396" xr:uid="{00000000-0004-0000-0100-00008B010000}"/>
    <hyperlink ref="H375" r:id="rId397" xr:uid="{00000000-0004-0000-0100-00008C010000}"/>
    <hyperlink ref="H376" r:id="rId398" xr:uid="{00000000-0004-0000-0100-00008D010000}"/>
    <hyperlink ref="H377" r:id="rId399" xr:uid="{00000000-0004-0000-0100-00008E010000}"/>
    <hyperlink ref="H378" r:id="rId400" xr:uid="{00000000-0004-0000-0100-00008F010000}"/>
    <hyperlink ref="H379" r:id="rId401" xr:uid="{00000000-0004-0000-0100-000090010000}"/>
    <hyperlink ref="H380" r:id="rId402" xr:uid="{00000000-0004-0000-0100-000091010000}"/>
    <hyperlink ref="H381" r:id="rId403" xr:uid="{00000000-0004-0000-0100-000092010000}"/>
    <hyperlink ref="F382" r:id="rId404" xr:uid="{00000000-0004-0000-0100-000093010000}"/>
    <hyperlink ref="H382" r:id="rId405" xr:uid="{00000000-0004-0000-0100-000094010000}"/>
    <hyperlink ref="H383" r:id="rId406" xr:uid="{00000000-0004-0000-0100-000095010000}"/>
    <hyperlink ref="F385" r:id="rId407" xr:uid="{00000000-0004-0000-0100-000096010000}"/>
    <hyperlink ref="H385" r:id="rId408" xr:uid="{00000000-0004-0000-0100-000097010000}"/>
    <hyperlink ref="H386" r:id="rId409" xr:uid="{00000000-0004-0000-0100-000098010000}"/>
    <hyperlink ref="H387" r:id="rId410" xr:uid="{00000000-0004-0000-0100-000099010000}"/>
    <hyperlink ref="F388" r:id="rId411" xr:uid="{00000000-0004-0000-0100-00009A010000}"/>
    <hyperlink ref="H388" r:id="rId412" xr:uid="{00000000-0004-0000-0100-00009B010000}"/>
    <hyperlink ref="N388" r:id="rId413" xr:uid="{00000000-0004-0000-0100-00009C010000}"/>
    <hyperlink ref="H389" r:id="rId414" xr:uid="{00000000-0004-0000-0100-00009D010000}"/>
    <hyperlink ref="H390" r:id="rId415" xr:uid="{00000000-0004-0000-0100-00009E010000}"/>
    <hyperlink ref="H391" r:id="rId416" xr:uid="{00000000-0004-0000-0100-00009F010000}"/>
    <hyperlink ref="H392" r:id="rId417" xr:uid="{00000000-0004-0000-0100-0000A0010000}"/>
    <hyperlink ref="H393" r:id="rId418" xr:uid="{00000000-0004-0000-0100-0000A1010000}"/>
    <hyperlink ref="H394" r:id="rId419" xr:uid="{00000000-0004-0000-0100-0000A2010000}"/>
    <hyperlink ref="H395" r:id="rId420" xr:uid="{00000000-0004-0000-0100-0000A3010000}"/>
    <hyperlink ref="H396" r:id="rId421" xr:uid="{00000000-0004-0000-0100-0000A4010000}"/>
    <hyperlink ref="H397" r:id="rId422" xr:uid="{00000000-0004-0000-0100-0000A5010000}"/>
    <hyperlink ref="M397" r:id="rId423" xr:uid="{00000000-0004-0000-0100-0000A6010000}"/>
    <hyperlink ref="H398" r:id="rId424" xr:uid="{00000000-0004-0000-0100-0000A7010000}"/>
    <hyperlink ref="M398" r:id="rId425" xr:uid="{00000000-0004-0000-0100-0000A8010000}"/>
    <hyperlink ref="H399" r:id="rId426" xr:uid="{00000000-0004-0000-0100-0000A9010000}"/>
    <hyperlink ref="H400" r:id="rId427" xr:uid="{00000000-0004-0000-0100-0000AA010000}"/>
    <hyperlink ref="H401" r:id="rId428" xr:uid="{00000000-0004-0000-0100-0000AB010000}"/>
    <hyperlink ref="H402" r:id="rId429" xr:uid="{00000000-0004-0000-0100-0000AC010000}"/>
    <hyperlink ref="H403" r:id="rId430" xr:uid="{00000000-0004-0000-0100-0000AD010000}"/>
    <hyperlink ref="H404" r:id="rId431" xr:uid="{00000000-0004-0000-0100-0000AE010000}"/>
    <hyperlink ref="H405" r:id="rId432" xr:uid="{00000000-0004-0000-0100-0000AF010000}"/>
    <hyperlink ref="F406" r:id="rId433" xr:uid="{00000000-0004-0000-0100-0000B0010000}"/>
    <hyperlink ref="H407" r:id="rId434" xr:uid="{00000000-0004-0000-0100-0000B1010000}"/>
    <hyperlink ref="H408" r:id="rId435" xr:uid="{00000000-0004-0000-0100-0000B2010000}"/>
    <hyperlink ref="H409" r:id="rId436" xr:uid="{00000000-0004-0000-0100-0000B3010000}"/>
    <hyperlink ref="H410" r:id="rId437" xr:uid="{00000000-0004-0000-0100-0000B4010000}"/>
    <hyperlink ref="H411" r:id="rId438" xr:uid="{00000000-0004-0000-0100-0000B5010000}"/>
    <hyperlink ref="H412" r:id="rId439" xr:uid="{00000000-0004-0000-0100-0000B6010000}"/>
    <hyperlink ref="H413" r:id="rId440" xr:uid="{00000000-0004-0000-0100-0000B7010000}"/>
    <hyperlink ref="H416" r:id="rId441" xr:uid="{00000000-0004-0000-0100-0000B8010000}"/>
    <hyperlink ref="H417" r:id="rId442" xr:uid="{00000000-0004-0000-0100-0000B9010000}"/>
    <hyperlink ref="H418" r:id="rId443" xr:uid="{00000000-0004-0000-0100-0000BA010000}"/>
    <hyperlink ref="H419" r:id="rId444" xr:uid="{00000000-0004-0000-0100-0000BB010000}"/>
    <hyperlink ref="H420" r:id="rId445" xr:uid="{00000000-0004-0000-0100-0000BC010000}"/>
    <hyperlink ref="H421" r:id="rId446" xr:uid="{00000000-0004-0000-0100-0000BD010000}"/>
    <hyperlink ref="H422" r:id="rId447" xr:uid="{00000000-0004-0000-0100-0000BE010000}"/>
    <hyperlink ref="H424" r:id="rId448" xr:uid="{00000000-0004-0000-0100-0000BF010000}"/>
    <hyperlink ref="H425" r:id="rId449" xr:uid="{00000000-0004-0000-0100-0000C0010000}"/>
    <hyperlink ref="H426" r:id="rId450" xr:uid="{00000000-0004-0000-0100-0000C1010000}"/>
    <hyperlink ref="F427" r:id="rId451" xr:uid="{00000000-0004-0000-0100-0000C2010000}"/>
    <hyperlink ref="H427" r:id="rId452" xr:uid="{00000000-0004-0000-0100-0000C3010000}"/>
    <hyperlink ref="H428" r:id="rId453" xr:uid="{00000000-0004-0000-0100-0000C4010000}"/>
    <hyperlink ref="H429" r:id="rId454" xr:uid="{00000000-0004-0000-0100-0000C5010000}"/>
    <hyperlink ref="H430" r:id="rId455" xr:uid="{00000000-0004-0000-0100-0000C6010000}"/>
    <hyperlink ref="H431" r:id="rId456" xr:uid="{00000000-0004-0000-0100-0000C7010000}"/>
    <hyperlink ref="H432" r:id="rId457" xr:uid="{00000000-0004-0000-0100-0000C8010000}"/>
    <hyperlink ref="H433" r:id="rId458" xr:uid="{00000000-0004-0000-0100-0000C9010000}"/>
    <hyperlink ref="H434" r:id="rId459" xr:uid="{00000000-0004-0000-0100-0000CA010000}"/>
    <hyperlink ref="H435" r:id="rId460" xr:uid="{00000000-0004-0000-0100-0000CB010000}"/>
    <hyperlink ref="H436" r:id="rId461" xr:uid="{00000000-0004-0000-0100-0000CC010000}"/>
    <hyperlink ref="H437" r:id="rId462" xr:uid="{00000000-0004-0000-0100-0000CD010000}"/>
    <hyperlink ref="H438" r:id="rId463" xr:uid="{00000000-0004-0000-0100-0000CE010000}"/>
    <hyperlink ref="H439" r:id="rId464" xr:uid="{00000000-0004-0000-0100-0000CF010000}"/>
    <hyperlink ref="H440" r:id="rId465" xr:uid="{00000000-0004-0000-0100-0000D0010000}"/>
    <hyperlink ref="H441" r:id="rId466" xr:uid="{00000000-0004-0000-0100-0000D1010000}"/>
    <hyperlink ref="H442" r:id="rId467" xr:uid="{00000000-0004-0000-0100-0000D2010000}"/>
    <hyperlink ref="H443" r:id="rId468" xr:uid="{00000000-0004-0000-0100-0000D3010000}"/>
    <hyperlink ref="H444" r:id="rId469" xr:uid="{00000000-0004-0000-0100-0000D4010000}"/>
    <hyperlink ref="H445" r:id="rId470" xr:uid="{00000000-0004-0000-0100-0000D5010000}"/>
    <hyperlink ref="O445" r:id="rId471" xr:uid="{00000000-0004-0000-0100-0000D6010000}"/>
    <hyperlink ref="H446" r:id="rId472" xr:uid="{00000000-0004-0000-0100-0000D7010000}"/>
    <hyperlink ref="H447" r:id="rId473" xr:uid="{00000000-0004-0000-0100-0000D8010000}"/>
    <hyperlink ref="H448" r:id="rId474" xr:uid="{00000000-0004-0000-0100-0000D9010000}"/>
    <hyperlink ref="H449" r:id="rId475" xr:uid="{00000000-0004-0000-0100-0000DA010000}"/>
    <hyperlink ref="H450" r:id="rId476" xr:uid="{00000000-0004-0000-0100-0000DB010000}"/>
    <hyperlink ref="H451" r:id="rId477" xr:uid="{00000000-0004-0000-0100-0000DC010000}"/>
    <hyperlink ref="H452" r:id="rId478" xr:uid="{00000000-0004-0000-0100-0000DD010000}"/>
    <hyperlink ref="H453" r:id="rId479" xr:uid="{00000000-0004-0000-0100-0000DE010000}"/>
    <hyperlink ref="H454" r:id="rId480" xr:uid="{00000000-0004-0000-0100-0000DF010000}"/>
    <hyperlink ref="H455" r:id="rId481" xr:uid="{00000000-0004-0000-0100-0000E0010000}"/>
    <hyperlink ref="H456" r:id="rId482" xr:uid="{00000000-0004-0000-0100-0000E1010000}"/>
    <hyperlink ref="H457" r:id="rId483" xr:uid="{00000000-0004-0000-0100-0000E2010000}"/>
    <hyperlink ref="H458" r:id="rId484" xr:uid="{00000000-0004-0000-0100-0000E3010000}"/>
    <hyperlink ref="H459" r:id="rId485" xr:uid="{00000000-0004-0000-0100-0000E4010000}"/>
    <hyperlink ref="H461" r:id="rId486" xr:uid="{00000000-0004-0000-0100-0000E5010000}"/>
    <hyperlink ref="H462" r:id="rId487" xr:uid="{00000000-0004-0000-0100-0000E6010000}"/>
    <hyperlink ref="H463" r:id="rId488" xr:uid="{00000000-0004-0000-0100-0000E7010000}"/>
    <hyperlink ref="H464" r:id="rId489" xr:uid="{00000000-0004-0000-0100-0000E8010000}"/>
    <hyperlink ref="H465" r:id="rId490" xr:uid="{00000000-0004-0000-0100-0000E9010000}"/>
    <hyperlink ref="H466" r:id="rId491" xr:uid="{00000000-0004-0000-0100-0000EA010000}"/>
    <hyperlink ref="H467" r:id="rId492" xr:uid="{00000000-0004-0000-0100-0000EB010000}"/>
    <hyperlink ref="F468" r:id="rId493" xr:uid="{00000000-0004-0000-0100-0000EC010000}"/>
    <hyperlink ref="H468" r:id="rId494" xr:uid="{00000000-0004-0000-0100-0000ED010000}"/>
    <hyperlink ref="H469" r:id="rId495" xr:uid="{00000000-0004-0000-0100-0000EE010000}"/>
    <hyperlink ref="H470" r:id="rId496" xr:uid="{00000000-0004-0000-0100-0000EF010000}"/>
    <hyperlink ref="H471" r:id="rId497" xr:uid="{00000000-0004-0000-0100-0000F0010000}"/>
    <hyperlink ref="H472" r:id="rId498" xr:uid="{00000000-0004-0000-0100-0000F1010000}"/>
    <hyperlink ref="H473" r:id="rId499" xr:uid="{00000000-0004-0000-0100-0000F2010000}"/>
    <hyperlink ref="H474" r:id="rId500" xr:uid="{00000000-0004-0000-0100-0000F3010000}"/>
    <hyperlink ref="H475" r:id="rId501" xr:uid="{00000000-0004-0000-0100-0000F4010000}"/>
    <hyperlink ref="H476" r:id="rId502" xr:uid="{00000000-0004-0000-0100-0000F5010000}"/>
    <hyperlink ref="H477" r:id="rId503" xr:uid="{00000000-0004-0000-0100-0000F6010000}"/>
    <hyperlink ref="H478" r:id="rId504" xr:uid="{00000000-0004-0000-0100-0000F7010000}"/>
    <hyperlink ref="H479" r:id="rId505" xr:uid="{00000000-0004-0000-0100-0000F8010000}"/>
    <hyperlink ref="H480" r:id="rId506" xr:uid="{00000000-0004-0000-0100-0000F9010000}"/>
    <hyperlink ref="H481" r:id="rId507" xr:uid="{00000000-0004-0000-0100-0000FA010000}"/>
    <hyperlink ref="H482" r:id="rId508" xr:uid="{00000000-0004-0000-0100-0000FB010000}"/>
    <hyperlink ref="H483" r:id="rId509" xr:uid="{00000000-0004-0000-0100-0000FC010000}"/>
    <hyperlink ref="H484" r:id="rId510" xr:uid="{00000000-0004-0000-0100-0000FD010000}"/>
    <hyperlink ref="H485" r:id="rId511" xr:uid="{00000000-0004-0000-0100-0000FE010000}"/>
    <hyperlink ref="H486" r:id="rId512" xr:uid="{00000000-0004-0000-0100-0000FF010000}"/>
    <hyperlink ref="H487" r:id="rId513" xr:uid="{00000000-0004-0000-0100-000000020000}"/>
    <hyperlink ref="H488" r:id="rId514" xr:uid="{00000000-0004-0000-0100-000001020000}"/>
    <hyperlink ref="H489" r:id="rId515" xr:uid="{00000000-0004-0000-0100-000002020000}"/>
    <hyperlink ref="H490" r:id="rId516" xr:uid="{00000000-0004-0000-0100-000003020000}"/>
    <hyperlink ref="F491" r:id="rId517" xr:uid="{00000000-0004-0000-0100-000004020000}"/>
    <hyperlink ref="H491" r:id="rId518" xr:uid="{00000000-0004-0000-0100-000005020000}"/>
    <hyperlink ref="H492" r:id="rId519" xr:uid="{00000000-0004-0000-0100-000006020000}"/>
    <hyperlink ref="F493" r:id="rId520" xr:uid="{00000000-0004-0000-0100-000007020000}"/>
    <hyperlink ref="H493" r:id="rId521" xr:uid="{00000000-0004-0000-0100-000008020000}"/>
    <hyperlink ref="H494" r:id="rId522" xr:uid="{00000000-0004-0000-0100-000009020000}"/>
    <hyperlink ref="H495" r:id="rId523" xr:uid="{00000000-0004-0000-0100-00000A020000}"/>
    <hyperlink ref="H496" r:id="rId524" xr:uid="{00000000-0004-0000-0100-00000B020000}"/>
    <hyperlink ref="H497" r:id="rId525" xr:uid="{00000000-0004-0000-0100-00000C020000}"/>
    <hyperlink ref="H498" r:id="rId526" xr:uid="{00000000-0004-0000-0100-00000D020000}"/>
    <hyperlink ref="F499" r:id="rId527" xr:uid="{00000000-0004-0000-0100-00000E020000}"/>
    <hyperlink ref="H499" r:id="rId528" xr:uid="{00000000-0004-0000-0100-00000F020000}"/>
    <hyperlink ref="H501" r:id="rId529" xr:uid="{00000000-0004-0000-0100-000010020000}"/>
    <hyperlink ref="F502" r:id="rId530" xr:uid="{00000000-0004-0000-0100-000011020000}"/>
    <hyperlink ref="H502" r:id="rId531" xr:uid="{00000000-0004-0000-0100-000012020000}"/>
    <hyperlink ref="H503" r:id="rId532" xr:uid="{00000000-0004-0000-0100-000013020000}"/>
    <hyperlink ref="H504" r:id="rId533" xr:uid="{00000000-0004-0000-0100-000014020000}"/>
    <hyperlink ref="H505" r:id="rId534" xr:uid="{00000000-0004-0000-0100-000015020000}"/>
    <hyperlink ref="H506" r:id="rId535" xr:uid="{00000000-0004-0000-0100-000016020000}"/>
    <hyperlink ref="H507" r:id="rId536" xr:uid="{00000000-0004-0000-0100-000017020000}"/>
    <hyperlink ref="F508" r:id="rId537" xr:uid="{00000000-0004-0000-0100-000018020000}"/>
    <hyperlink ref="H508" r:id="rId538" xr:uid="{00000000-0004-0000-0100-000019020000}"/>
    <hyperlink ref="H509" r:id="rId539" xr:uid="{00000000-0004-0000-0100-00001A020000}"/>
    <hyperlink ref="H510" r:id="rId540" xr:uid="{00000000-0004-0000-0100-00001B020000}"/>
    <hyperlink ref="H511" r:id="rId541" xr:uid="{00000000-0004-0000-0100-00001C020000}"/>
    <hyperlink ref="H512" r:id="rId542" xr:uid="{00000000-0004-0000-0100-00001D020000}"/>
    <hyperlink ref="H513" r:id="rId543" xr:uid="{00000000-0004-0000-0100-00001E020000}"/>
    <hyperlink ref="H514" r:id="rId544" xr:uid="{00000000-0004-0000-0100-00001F020000}"/>
    <hyperlink ref="F515" r:id="rId545" xr:uid="{00000000-0004-0000-0100-000020020000}"/>
    <hyperlink ref="H515" r:id="rId546" xr:uid="{00000000-0004-0000-0100-000021020000}"/>
    <hyperlink ref="H516" r:id="rId547" xr:uid="{00000000-0004-0000-0100-000022020000}"/>
    <hyperlink ref="H517" r:id="rId548" xr:uid="{00000000-0004-0000-0100-000023020000}"/>
    <hyperlink ref="H518" r:id="rId549" xr:uid="{00000000-0004-0000-0100-000024020000}"/>
    <hyperlink ref="H519" r:id="rId550" xr:uid="{00000000-0004-0000-0100-000025020000}"/>
    <hyperlink ref="F520" r:id="rId551" xr:uid="{00000000-0004-0000-0100-000026020000}"/>
    <hyperlink ref="H520" r:id="rId552" xr:uid="{00000000-0004-0000-0100-000027020000}"/>
    <hyperlink ref="H521" r:id="rId553" xr:uid="{00000000-0004-0000-0100-000028020000}"/>
    <hyperlink ref="H522" r:id="rId554" xr:uid="{00000000-0004-0000-0100-000029020000}"/>
    <hyperlink ref="H523" r:id="rId555" xr:uid="{00000000-0004-0000-0100-00002A020000}"/>
    <hyperlink ref="F524" r:id="rId556" xr:uid="{00000000-0004-0000-0100-00002B020000}"/>
    <hyperlink ref="H524" r:id="rId557" xr:uid="{00000000-0004-0000-0100-00002C020000}"/>
    <hyperlink ref="F525" r:id="rId558" xr:uid="{00000000-0004-0000-0100-00002D020000}"/>
    <hyperlink ref="H525" r:id="rId559" xr:uid="{00000000-0004-0000-0100-00002E020000}"/>
    <hyperlink ref="H526" r:id="rId560" xr:uid="{00000000-0004-0000-0100-00002F020000}"/>
    <hyperlink ref="H527" r:id="rId561" xr:uid="{00000000-0004-0000-0100-000030020000}"/>
    <hyperlink ref="H528" r:id="rId562" xr:uid="{00000000-0004-0000-0100-000031020000}"/>
    <hyperlink ref="H529" r:id="rId563" xr:uid="{00000000-0004-0000-0100-000032020000}"/>
    <hyperlink ref="F530" r:id="rId564" xr:uid="{00000000-0004-0000-0100-000033020000}"/>
    <hyperlink ref="H530" r:id="rId565" xr:uid="{00000000-0004-0000-0100-000034020000}"/>
    <hyperlink ref="H531" r:id="rId566" xr:uid="{00000000-0004-0000-0100-000035020000}"/>
    <hyperlink ref="H532" r:id="rId567" xr:uid="{00000000-0004-0000-0100-000036020000}"/>
    <hyperlink ref="H533" r:id="rId568" xr:uid="{00000000-0004-0000-0100-000037020000}"/>
    <hyperlink ref="H534" r:id="rId569" xr:uid="{00000000-0004-0000-0100-000038020000}"/>
    <hyperlink ref="H535" r:id="rId570" xr:uid="{00000000-0004-0000-0100-000039020000}"/>
    <hyperlink ref="H536" r:id="rId571" xr:uid="{00000000-0004-0000-0100-00003A020000}"/>
    <hyperlink ref="H537" r:id="rId572" xr:uid="{00000000-0004-0000-0100-00003B020000}"/>
    <hyperlink ref="H538" r:id="rId573" xr:uid="{00000000-0004-0000-0100-00003C020000}"/>
    <hyperlink ref="F539" r:id="rId574" xr:uid="{00000000-0004-0000-0100-00003D020000}"/>
    <hyperlink ref="H539" r:id="rId575" xr:uid="{00000000-0004-0000-0100-00003E020000}"/>
    <hyperlink ref="H540" r:id="rId576" xr:uid="{00000000-0004-0000-0100-00003F020000}"/>
    <hyperlink ref="H541" r:id="rId577" xr:uid="{00000000-0004-0000-0100-000040020000}"/>
    <hyperlink ref="H542" r:id="rId578" xr:uid="{00000000-0004-0000-0100-000041020000}"/>
    <hyperlink ref="H543" r:id="rId579" xr:uid="{00000000-0004-0000-0100-000042020000}"/>
    <hyperlink ref="H544" r:id="rId580" xr:uid="{00000000-0004-0000-0100-000043020000}"/>
    <hyperlink ref="F545" r:id="rId581" xr:uid="{00000000-0004-0000-0100-000044020000}"/>
    <hyperlink ref="H545" r:id="rId582" xr:uid="{00000000-0004-0000-0100-000045020000}"/>
    <hyperlink ref="F546" r:id="rId583" xr:uid="{00000000-0004-0000-0100-000046020000}"/>
    <hyperlink ref="H546" r:id="rId584" xr:uid="{00000000-0004-0000-0100-000047020000}"/>
    <hyperlink ref="H547" r:id="rId585" xr:uid="{00000000-0004-0000-0100-000048020000}"/>
    <hyperlink ref="F548" r:id="rId586" xr:uid="{00000000-0004-0000-0100-000049020000}"/>
    <hyperlink ref="H548" r:id="rId587" xr:uid="{00000000-0004-0000-0100-00004A020000}"/>
    <hyperlink ref="H549" r:id="rId588" xr:uid="{00000000-0004-0000-0100-00004B020000}"/>
    <hyperlink ref="H550" r:id="rId589" xr:uid="{00000000-0004-0000-0100-00004C020000}"/>
    <hyperlink ref="H551" r:id="rId590" xr:uid="{00000000-0004-0000-0100-00004D020000}"/>
    <hyperlink ref="H552" r:id="rId591" xr:uid="{00000000-0004-0000-0100-00004E020000}"/>
    <hyperlink ref="H553" r:id="rId592" xr:uid="{00000000-0004-0000-0100-00004F020000}"/>
    <hyperlink ref="H554" r:id="rId593" xr:uid="{00000000-0004-0000-0100-000050020000}"/>
    <hyperlink ref="H555" r:id="rId594" xr:uid="{00000000-0004-0000-0100-000051020000}"/>
    <hyperlink ref="H556" r:id="rId595" xr:uid="{00000000-0004-0000-0100-000052020000}"/>
    <hyperlink ref="H557" r:id="rId596" xr:uid="{00000000-0004-0000-0100-000053020000}"/>
    <hyperlink ref="H558" r:id="rId597" xr:uid="{00000000-0004-0000-0100-000054020000}"/>
    <hyperlink ref="H559" r:id="rId598" xr:uid="{00000000-0004-0000-0100-000055020000}"/>
    <hyperlink ref="H560" r:id="rId599" xr:uid="{00000000-0004-0000-0100-000056020000}"/>
    <hyperlink ref="H561" r:id="rId600" xr:uid="{00000000-0004-0000-0100-000057020000}"/>
    <hyperlink ref="H562" r:id="rId601" xr:uid="{00000000-0004-0000-0100-000058020000}"/>
    <hyperlink ref="H563" r:id="rId602" xr:uid="{00000000-0004-0000-0100-000059020000}"/>
    <hyperlink ref="H564" r:id="rId603" xr:uid="{00000000-0004-0000-0100-00005A020000}"/>
    <hyperlink ref="H565" r:id="rId604" xr:uid="{00000000-0004-0000-0100-00005B020000}"/>
    <hyperlink ref="F566" r:id="rId605" xr:uid="{00000000-0004-0000-0100-00005C020000}"/>
    <hyperlink ref="H566" r:id="rId606" xr:uid="{00000000-0004-0000-0100-00005D020000}"/>
    <hyperlink ref="N566" r:id="rId607" xr:uid="{00000000-0004-0000-0100-00005E020000}"/>
    <hyperlink ref="H568" r:id="rId608" xr:uid="{00000000-0004-0000-0100-00005F020000}"/>
    <hyperlink ref="H569" r:id="rId609" xr:uid="{00000000-0004-0000-0100-000060020000}"/>
    <hyperlink ref="H570" r:id="rId610" xr:uid="{00000000-0004-0000-0100-000061020000}"/>
    <hyperlink ref="H571" r:id="rId611" xr:uid="{00000000-0004-0000-0100-000062020000}"/>
    <hyperlink ref="H572" r:id="rId612" xr:uid="{00000000-0004-0000-0100-000063020000}"/>
    <hyperlink ref="H573" r:id="rId613" xr:uid="{00000000-0004-0000-0100-000064020000}"/>
    <hyperlink ref="H574" r:id="rId614" xr:uid="{00000000-0004-0000-0100-000065020000}"/>
    <hyperlink ref="H575" r:id="rId615" xr:uid="{00000000-0004-0000-0100-000066020000}"/>
    <hyperlink ref="H576" r:id="rId616" xr:uid="{00000000-0004-0000-0100-000067020000}"/>
    <hyperlink ref="H577" r:id="rId617" xr:uid="{00000000-0004-0000-0100-000068020000}"/>
    <hyperlink ref="H578" r:id="rId618" xr:uid="{00000000-0004-0000-0100-000069020000}"/>
    <hyperlink ref="H579" r:id="rId619" xr:uid="{00000000-0004-0000-0100-00006A020000}"/>
    <hyperlink ref="H580" r:id="rId620" xr:uid="{00000000-0004-0000-0100-00006B020000}"/>
    <hyperlink ref="F581" r:id="rId621" xr:uid="{00000000-0004-0000-0100-00006C020000}"/>
    <hyperlink ref="H581" r:id="rId622" xr:uid="{00000000-0004-0000-0100-00006D020000}"/>
    <hyperlink ref="H582" r:id="rId623" xr:uid="{00000000-0004-0000-0100-00006E020000}"/>
    <hyperlink ref="H583" r:id="rId624" xr:uid="{00000000-0004-0000-0100-00006F020000}"/>
    <hyperlink ref="H584" r:id="rId625" xr:uid="{00000000-0004-0000-0100-000070020000}"/>
    <hyperlink ref="H585" r:id="rId626" xr:uid="{00000000-0004-0000-0100-000071020000}"/>
    <hyperlink ref="H588" r:id="rId627" xr:uid="{00000000-0004-0000-0100-000072020000}"/>
    <hyperlink ref="Q588" r:id="rId628" xr:uid="{00000000-0004-0000-0100-000073020000}"/>
    <hyperlink ref="H589" r:id="rId629" xr:uid="{00000000-0004-0000-0100-000074020000}"/>
    <hyperlink ref="H590" r:id="rId630" xr:uid="{00000000-0004-0000-0100-000075020000}"/>
    <hyperlink ref="H591" r:id="rId631" xr:uid="{00000000-0004-0000-0100-000076020000}"/>
    <hyperlink ref="H592" r:id="rId632" xr:uid="{00000000-0004-0000-0100-000077020000}"/>
    <hyperlink ref="H593" r:id="rId633" xr:uid="{00000000-0004-0000-0100-000078020000}"/>
    <hyperlink ref="H594" r:id="rId634" xr:uid="{00000000-0004-0000-0100-000079020000}"/>
    <hyperlink ref="H595" r:id="rId635" xr:uid="{00000000-0004-0000-0100-00007A020000}"/>
    <hyperlink ref="F596" r:id="rId636" xr:uid="{00000000-0004-0000-0100-00007B020000}"/>
    <hyperlink ref="H596" r:id="rId637" xr:uid="{00000000-0004-0000-0100-00007C020000}"/>
    <hyperlink ref="F597" r:id="rId638" xr:uid="{00000000-0004-0000-0100-00007D020000}"/>
    <hyperlink ref="H597" r:id="rId639" xr:uid="{00000000-0004-0000-0100-00007E020000}"/>
    <hyperlink ref="F598" r:id="rId640" xr:uid="{00000000-0004-0000-0100-00007F020000}"/>
    <hyperlink ref="H598" r:id="rId641" xr:uid="{00000000-0004-0000-0100-000080020000}"/>
    <hyperlink ref="H599" r:id="rId642" xr:uid="{00000000-0004-0000-0100-000081020000}"/>
    <hyperlink ref="F600" r:id="rId643" xr:uid="{00000000-0004-0000-0100-000082020000}"/>
    <hyperlink ref="H600" r:id="rId644" xr:uid="{00000000-0004-0000-0100-000083020000}"/>
    <hyperlink ref="H601" r:id="rId645" xr:uid="{00000000-0004-0000-0100-000084020000}"/>
    <hyperlink ref="F602" r:id="rId646" xr:uid="{00000000-0004-0000-0100-000085020000}"/>
    <hyperlink ref="H602" r:id="rId647" xr:uid="{00000000-0004-0000-0100-000086020000}"/>
    <hyperlink ref="H603" r:id="rId648" xr:uid="{00000000-0004-0000-0100-000087020000}"/>
    <hyperlink ref="H604" r:id="rId649" xr:uid="{00000000-0004-0000-0100-000088020000}"/>
    <hyperlink ref="H605" r:id="rId650" xr:uid="{00000000-0004-0000-0100-000089020000}"/>
    <hyperlink ref="F606" r:id="rId651" xr:uid="{00000000-0004-0000-0100-00008A020000}"/>
    <hyperlink ref="H606" r:id="rId652" xr:uid="{00000000-0004-0000-0100-00008B020000}"/>
    <hyperlink ref="F607" r:id="rId653" xr:uid="{00000000-0004-0000-0100-00008C020000}"/>
    <hyperlink ref="H608" r:id="rId654" xr:uid="{00000000-0004-0000-0100-00008D020000}"/>
    <hyperlink ref="H609" r:id="rId655" xr:uid="{00000000-0004-0000-0100-00008E020000}"/>
    <hyperlink ref="H610" r:id="rId656" xr:uid="{00000000-0004-0000-0100-00008F020000}"/>
    <hyperlink ref="H611" r:id="rId657" xr:uid="{00000000-0004-0000-0100-000090020000}"/>
    <hyperlink ref="H612" r:id="rId658" xr:uid="{00000000-0004-0000-0100-000091020000}"/>
    <hyperlink ref="H613" r:id="rId659" xr:uid="{00000000-0004-0000-0100-000092020000}"/>
    <hyperlink ref="H614" r:id="rId660" xr:uid="{00000000-0004-0000-0100-000093020000}"/>
    <hyperlink ref="F615" r:id="rId661" xr:uid="{00000000-0004-0000-0100-000094020000}"/>
    <hyperlink ref="H615" r:id="rId662" xr:uid="{00000000-0004-0000-0100-000095020000}"/>
    <hyperlink ref="H616" r:id="rId663" xr:uid="{00000000-0004-0000-0100-000096020000}"/>
    <hyperlink ref="H617" r:id="rId664" xr:uid="{00000000-0004-0000-0100-000097020000}"/>
    <hyperlink ref="H619" r:id="rId665" xr:uid="{00000000-0004-0000-0100-000098020000}"/>
    <hyperlink ref="H620" r:id="rId666" xr:uid="{00000000-0004-0000-0100-000099020000}"/>
    <hyperlink ref="H621" r:id="rId667" xr:uid="{00000000-0004-0000-0100-00009A020000}"/>
    <hyperlink ref="H622" r:id="rId668" xr:uid="{00000000-0004-0000-0100-00009B020000}"/>
    <hyperlink ref="F623" r:id="rId669" xr:uid="{00000000-0004-0000-0100-00009C020000}"/>
    <hyperlink ref="H623" r:id="rId670" xr:uid="{00000000-0004-0000-0100-00009D020000}"/>
    <hyperlink ref="H624" r:id="rId671" xr:uid="{00000000-0004-0000-0100-00009E020000}"/>
    <hyperlink ref="H625" r:id="rId672" xr:uid="{00000000-0004-0000-0100-00009F020000}"/>
    <hyperlink ref="H626" r:id="rId673" xr:uid="{00000000-0004-0000-0100-0000A0020000}"/>
    <hyperlink ref="H627" r:id="rId674" xr:uid="{00000000-0004-0000-0100-0000A1020000}"/>
    <hyperlink ref="H628" r:id="rId675" xr:uid="{00000000-0004-0000-0100-0000A2020000}"/>
    <hyperlink ref="H629" r:id="rId676" xr:uid="{00000000-0004-0000-0100-0000A3020000}"/>
    <hyperlink ref="H630" r:id="rId677" xr:uid="{00000000-0004-0000-0100-0000A4020000}"/>
    <hyperlink ref="F631" r:id="rId678" xr:uid="{00000000-0004-0000-0100-0000A5020000}"/>
    <hyperlink ref="H631" r:id="rId679" xr:uid="{00000000-0004-0000-0100-0000A6020000}"/>
    <hyperlink ref="H632" r:id="rId680" xr:uid="{00000000-0004-0000-0100-0000A7020000}"/>
    <hyperlink ref="H633" r:id="rId681" xr:uid="{00000000-0004-0000-0100-0000A8020000}"/>
    <hyperlink ref="H634" r:id="rId682" xr:uid="{00000000-0004-0000-0100-0000A9020000}"/>
    <hyperlink ref="H635" r:id="rId683" xr:uid="{00000000-0004-0000-0100-0000AA020000}"/>
    <hyperlink ref="H636" r:id="rId684" xr:uid="{00000000-0004-0000-0100-0000AB020000}"/>
    <hyperlink ref="H637" r:id="rId685" xr:uid="{00000000-0004-0000-0100-0000AC020000}"/>
    <hyperlink ref="H638" r:id="rId686" xr:uid="{00000000-0004-0000-0100-0000AD020000}"/>
    <hyperlink ref="H639" r:id="rId687" xr:uid="{00000000-0004-0000-0100-0000AE020000}"/>
    <hyperlink ref="H640" r:id="rId688" xr:uid="{00000000-0004-0000-0100-0000AF020000}"/>
    <hyperlink ref="F641" r:id="rId689" xr:uid="{00000000-0004-0000-0100-0000B0020000}"/>
    <hyperlink ref="H641" r:id="rId690" xr:uid="{00000000-0004-0000-0100-0000B1020000}"/>
    <hyperlink ref="H642" r:id="rId691" xr:uid="{00000000-0004-0000-0100-0000B2020000}"/>
    <hyperlink ref="H643" r:id="rId692" xr:uid="{00000000-0004-0000-0100-0000B3020000}"/>
    <hyperlink ref="H644" r:id="rId693" xr:uid="{00000000-0004-0000-0100-0000B4020000}"/>
    <hyperlink ref="H645" r:id="rId694" xr:uid="{00000000-0004-0000-0100-0000B5020000}"/>
    <hyperlink ref="H646" r:id="rId695" xr:uid="{00000000-0004-0000-0100-0000B6020000}"/>
    <hyperlink ref="H647" r:id="rId696" xr:uid="{00000000-0004-0000-0100-0000B7020000}"/>
    <hyperlink ref="H648" r:id="rId697" xr:uid="{00000000-0004-0000-0100-0000B8020000}"/>
    <hyperlink ref="H649" r:id="rId698" xr:uid="{00000000-0004-0000-0100-0000B9020000}"/>
    <hyperlink ref="H650" r:id="rId699" xr:uid="{00000000-0004-0000-0100-0000BA020000}"/>
    <hyperlink ref="F651" r:id="rId700" xr:uid="{00000000-0004-0000-0100-0000BB020000}"/>
    <hyperlink ref="H651" r:id="rId701" xr:uid="{00000000-0004-0000-0100-0000BC020000}"/>
    <hyperlink ref="H652" r:id="rId702" xr:uid="{00000000-0004-0000-0100-0000BD020000}"/>
    <hyperlink ref="H653" r:id="rId703" xr:uid="{00000000-0004-0000-0100-0000BE020000}"/>
    <hyperlink ref="H654" r:id="rId704" xr:uid="{00000000-0004-0000-0100-0000BF020000}"/>
    <hyperlink ref="H655" r:id="rId705" xr:uid="{00000000-0004-0000-0100-0000C0020000}"/>
    <hyperlink ref="H656" r:id="rId706" xr:uid="{00000000-0004-0000-0100-0000C1020000}"/>
    <hyperlink ref="H658" r:id="rId707" xr:uid="{00000000-0004-0000-0100-0000C2020000}"/>
    <hyperlink ref="H659" r:id="rId708" xr:uid="{00000000-0004-0000-0100-0000C3020000}"/>
    <hyperlink ref="H660" r:id="rId709" xr:uid="{00000000-0004-0000-0100-0000C4020000}"/>
    <hyperlink ref="H661" r:id="rId710" xr:uid="{00000000-0004-0000-0100-0000C5020000}"/>
    <hyperlink ref="H662" r:id="rId711" xr:uid="{00000000-0004-0000-0100-0000C6020000}"/>
    <hyperlink ref="H663" r:id="rId712" xr:uid="{00000000-0004-0000-0100-0000C7020000}"/>
    <hyperlink ref="H664" r:id="rId713" xr:uid="{00000000-0004-0000-0100-0000C8020000}"/>
    <hyperlink ref="H666" r:id="rId714" xr:uid="{00000000-0004-0000-0100-0000C9020000}"/>
    <hyperlink ref="H667" r:id="rId715" xr:uid="{00000000-0004-0000-0100-0000CA020000}"/>
    <hyperlink ref="M667" r:id="rId716" xr:uid="{00000000-0004-0000-0100-0000CB020000}"/>
    <hyperlink ref="H668" r:id="rId717" xr:uid="{00000000-0004-0000-0100-0000CC020000}"/>
    <hyperlink ref="F669" r:id="rId718" xr:uid="{00000000-0004-0000-0100-0000CD020000}"/>
    <hyperlink ref="H669" r:id="rId719" xr:uid="{00000000-0004-0000-0100-0000CE020000}"/>
    <hyperlink ref="H670" r:id="rId720" xr:uid="{00000000-0004-0000-0100-0000CF020000}"/>
    <hyperlink ref="F671" r:id="rId721" xr:uid="{00000000-0004-0000-0100-0000D0020000}"/>
    <hyperlink ref="H671" r:id="rId722" xr:uid="{00000000-0004-0000-0100-0000D1020000}"/>
    <hyperlink ref="F672" r:id="rId723" xr:uid="{00000000-0004-0000-0100-0000D2020000}"/>
    <hyperlink ref="H672" r:id="rId724" xr:uid="{00000000-0004-0000-0100-0000D3020000}"/>
    <hyperlink ref="F673" r:id="rId725" xr:uid="{00000000-0004-0000-0100-0000D4020000}"/>
    <hyperlink ref="H673" r:id="rId726" xr:uid="{00000000-0004-0000-0100-0000D5020000}"/>
    <hyperlink ref="H674" r:id="rId727" xr:uid="{00000000-0004-0000-0100-0000D6020000}"/>
    <hyperlink ref="H675" r:id="rId728" xr:uid="{00000000-0004-0000-0100-0000D7020000}"/>
    <hyperlink ref="F676" r:id="rId729" xr:uid="{00000000-0004-0000-0100-0000D8020000}"/>
    <hyperlink ref="H676" r:id="rId730" xr:uid="{00000000-0004-0000-0100-0000D9020000}"/>
    <hyperlink ref="H677" r:id="rId731" xr:uid="{00000000-0004-0000-0100-0000DA020000}"/>
    <hyperlink ref="H679" r:id="rId732" xr:uid="{00000000-0004-0000-0100-0000DB020000}"/>
    <hyperlink ref="H680" r:id="rId733" xr:uid="{00000000-0004-0000-0100-0000DC020000}"/>
    <hyperlink ref="F681" r:id="rId734" xr:uid="{00000000-0004-0000-0100-0000DD020000}"/>
    <hyperlink ref="H681" r:id="rId735" xr:uid="{00000000-0004-0000-0100-0000DE020000}"/>
    <hyperlink ref="F682" r:id="rId736" xr:uid="{00000000-0004-0000-0100-0000DF020000}"/>
    <hyperlink ref="H682" r:id="rId737" xr:uid="{00000000-0004-0000-0100-0000E0020000}"/>
    <hyperlink ref="H683" r:id="rId738" xr:uid="{00000000-0004-0000-0100-0000E1020000}"/>
    <hyperlink ref="H684" r:id="rId739" xr:uid="{00000000-0004-0000-0100-0000E2020000}"/>
    <hyperlink ref="H685" r:id="rId740" xr:uid="{00000000-0004-0000-0100-0000E3020000}"/>
    <hyperlink ref="F686" r:id="rId741" xr:uid="{00000000-0004-0000-0100-0000E4020000}"/>
    <hyperlink ref="H686" r:id="rId742" xr:uid="{00000000-0004-0000-0100-0000E5020000}"/>
    <hyperlink ref="F688" r:id="rId743" xr:uid="{00000000-0004-0000-0100-0000E6020000}"/>
    <hyperlink ref="H688" r:id="rId744" xr:uid="{00000000-0004-0000-0100-0000E7020000}"/>
    <hyperlink ref="H689" r:id="rId745" xr:uid="{00000000-0004-0000-0100-0000E8020000}"/>
    <hyperlink ref="H690" r:id="rId746" xr:uid="{00000000-0004-0000-0100-0000E9020000}"/>
    <hyperlink ref="H691" r:id="rId747" xr:uid="{00000000-0004-0000-0100-0000EA020000}"/>
    <hyperlink ref="H692" r:id="rId748" xr:uid="{00000000-0004-0000-0100-0000EB020000}"/>
    <hyperlink ref="H693" r:id="rId749" xr:uid="{00000000-0004-0000-0100-0000EC020000}"/>
    <hyperlink ref="F694" r:id="rId750" xr:uid="{00000000-0004-0000-0100-0000ED020000}"/>
    <hyperlink ref="H694" r:id="rId751" xr:uid="{00000000-0004-0000-0100-0000EE020000}"/>
    <hyperlink ref="H695" r:id="rId752" xr:uid="{00000000-0004-0000-0100-0000EF020000}"/>
    <hyperlink ref="H696" r:id="rId753" xr:uid="{00000000-0004-0000-0100-0000F0020000}"/>
    <hyperlink ref="F697" r:id="rId754" xr:uid="{00000000-0004-0000-0100-0000F1020000}"/>
    <hyperlink ref="H697" r:id="rId755" xr:uid="{00000000-0004-0000-0100-0000F2020000}"/>
    <hyperlink ref="H698" r:id="rId756" xr:uid="{00000000-0004-0000-0100-0000F3020000}"/>
    <hyperlink ref="H699" r:id="rId757" xr:uid="{00000000-0004-0000-0100-0000F4020000}"/>
    <hyperlink ref="H700" r:id="rId758" xr:uid="{00000000-0004-0000-0100-0000F5020000}"/>
    <hyperlink ref="H701" r:id="rId759" xr:uid="{00000000-0004-0000-0100-0000F6020000}"/>
    <hyperlink ref="H702" r:id="rId760" xr:uid="{00000000-0004-0000-0100-0000F7020000}"/>
    <hyperlink ref="F703" r:id="rId761" xr:uid="{00000000-0004-0000-0100-0000F8020000}"/>
    <hyperlink ref="H703" r:id="rId762" xr:uid="{00000000-0004-0000-0100-0000F9020000}"/>
    <hyperlink ref="F704" r:id="rId763" xr:uid="{00000000-0004-0000-0100-0000FA020000}"/>
    <hyperlink ref="H704" r:id="rId764" xr:uid="{00000000-0004-0000-0100-0000FB020000}"/>
    <hyperlink ref="H705" r:id="rId765" xr:uid="{00000000-0004-0000-0100-0000FC020000}"/>
    <hyperlink ref="H706" r:id="rId766" xr:uid="{00000000-0004-0000-0100-0000FD020000}"/>
    <hyperlink ref="H707" r:id="rId767" xr:uid="{00000000-0004-0000-0100-0000FE020000}"/>
    <hyperlink ref="H708" r:id="rId768" xr:uid="{00000000-0004-0000-0100-0000FF020000}"/>
    <hyperlink ref="H709" r:id="rId769" xr:uid="{00000000-0004-0000-0100-000000030000}"/>
    <hyperlink ref="G710" r:id="rId770" xr:uid="{00000000-0004-0000-0100-000001030000}"/>
    <hyperlink ref="H710" r:id="rId771" xr:uid="{00000000-0004-0000-0100-000002030000}"/>
    <hyperlink ref="F711" r:id="rId772" xr:uid="{00000000-0004-0000-0100-000003030000}"/>
    <hyperlink ref="H711" r:id="rId773" xr:uid="{00000000-0004-0000-0100-000004030000}"/>
    <hyperlink ref="H712" r:id="rId774" xr:uid="{00000000-0004-0000-0100-000005030000}"/>
    <hyperlink ref="H713" r:id="rId775" xr:uid="{00000000-0004-0000-0100-000006030000}"/>
    <hyperlink ref="H714" r:id="rId776" xr:uid="{00000000-0004-0000-0100-000007030000}"/>
    <hyperlink ref="H715" r:id="rId777" xr:uid="{00000000-0004-0000-0100-000008030000}"/>
    <hyperlink ref="H716" r:id="rId778" xr:uid="{00000000-0004-0000-0100-000009030000}"/>
    <hyperlink ref="F717" r:id="rId779" xr:uid="{00000000-0004-0000-0100-00000A030000}"/>
    <hyperlink ref="H717" r:id="rId780" xr:uid="{00000000-0004-0000-0100-00000B030000}"/>
    <hyperlink ref="H718" r:id="rId781" xr:uid="{00000000-0004-0000-0100-00000C030000}"/>
    <hyperlink ref="H720" r:id="rId782" xr:uid="{00000000-0004-0000-0100-00000D030000}"/>
    <hyperlink ref="H721" r:id="rId783" xr:uid="{00000000-0004-0000-0100-00000E030000}"/>
    <hyperlink ref="F722" r:id="rId784" xr:uid="{00000000-0004-0000-0100-00000F030000}"/>
    <hyperlink ref="H722" r:id="rId785" xr:uid="{00000000-0004-0000-0100-000010030000}"/>
    <hyperlink ref="H723" r:id="rId786" xr:uid="{00000000-0004-0000-0100-000011030000}"/>
    <hyperlink ref="H724" r:id="rId787" xr:uid="{00000000-0004-0000-0100-000012030000}"/>
    <hyperlink ref="H725" r:id="rId788" xr:uid="{00000000-0004-0000-0100-000013030000}"/>
    <hyperlink ref="H726" r:id="rId789" xr:uid="{00000000-0004-0000-0100-000014030000}"/>
    <hyperlink ref="I726" r:id="rId790" xr:uid="{00000000-0004-0000-0100-000015030000}"/>
    <hyperlink ref="H727" r:id="rId791" xr:uid="{00000000-0004-0000-0100-000016030000}"/>
    <hyperlink ref="H728" r:id="rId792" xr:uid="{00000000-0004-0000-0100-000017030000}"/>
    <hyperlink ref="H729" r:id="rId793" xr:uid="{00000000-0004-0000-0100-000018030000}"/>
    <hyperlink ref="H731" r:id="rId794" xr:uid="{00000000-0004-0000-0100-000019030000}"/>
    <hyperlink ref="F732" r:id="rId795" xr:uid="{00000000-0004-0000-0100-00001A030000}"/>
    <hyperlink ref="H732" r:id="rId796" xr:uid="{00000000-0004-0000-0100-00001B030000}"/>
    <hyperlink ref="H733" r:id="rId797" xr:uid="{00000000-0004-0000-0100-00001C030000}"/>
    <hyperlink ref="F734" r:id="rId798" xr:uid="{00000000-0004-0000-0100-00001D030000}"/>
    <hyperlink ref="H734" r:id="rId799" xr:uid="{00000000-0004-0000-0100-00001E030000}"/>
    <hyperlink ref="H736" r:id="rId800" xr:uid="{00000000-0004-0000-0100-00001F030000}"/>
    <hyperlink ref="H737" r:id="rId801" xr:uid="{00000000-0004-0000-0100-000020030000}"/>
    <hyperlink ref="H738" r:id="rId802" xr:uid="{00000000-0004-0000-0100-000021030000}"/>
    <hyperlink ref="H739" r:id="rId803" xr:uid="{00000000-0004-0000-0100-000022030000}"/>
    <hyperlink ref="H740" r:id="rId804" xr:uid="{00000000-0004-0000-0100-000023030000}"/>
    <hyperlink ref="H741" r:id="rId805" xr:uid="{00000000-0004-0000-0100-000024030000}"/>
    <hyperlink ref="H742" r:id="rId806" xr:uid="{00000000-0004-0000-0100-000025030000}"/>
    <hyperlink ref="H744" r:id="rId807" xr:uid="{00000000-0004-0000-0100-000026030000}"/>
    <hyperlink ref="H745" r:id="rId808" xr:uid="{00000000-0004-0000-0100-000027030000}"/>
    <hyperlink ref="H746" r:id="rId809" xr:uid="{00000000-0004-0000-0100-000028030000}"/>
    <hyperlink ref="H747" r:id="rId810" xr:uid="{00000000-0004-0000-0100-000029030000}"/>
    <hyperlink ref="H748" r:id="rId811" xr:uid="{00000000-0004-0000-0100-00002A030000}"/>
    <hyperlink ref="H749" r:id="rId812" xr:uid="{00000000-0004-0000-0100-00002B030000}"/>
    <hyperlink ref="H750" r:id="rId813" xr:uid="{00000000-0004-0000-0100-00002C030000}"/>
    <hyperlink ref="H751" r:id="rId814" xr:uid="{00000000-0004-0000-0100-00002D030000}"/>
    <hyperlink ref="H752" r:id="rId815" xr:uid="{00000000-0004-0000-0100-00002E030000}"/>
    <hyperlink ref="H755" r:id="rId816" xr:uid="{00000000-0004-0000-0100-00002F030000}"/>
    <hyperlink ref="N757" r:id="rId817" xr:uid="{00000000-0004-0000-0100-000030030000}"/>
  </hyperlinks>
  <pageMargins left="0.7" right="0.7" top="0.75" bottom="0.75" header="0.3" footer="0.3"/>
  <tableParts count="1">
    <tablePart r:id="rId81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topLeftCell="A10" workbookViewId="0">
      <selection activeCell="A16" sqref="A16:F18"/>
    </sheetView>
  </sheetViews>
  <sheetFormatPr defaultRowHeight="15"/>
  <cols>
    <col min="1" max="1" width="11.5703125" customWidth="1"/>
    <col min="2" max="2" width="35.5703125" customWidth="1"/>
    <col min="4" max="4" width="35.28515625" customWidth="1"/>
    <col min="5" max="5" width="25.42578125" customWidth="1"/>
    <col min="6" max="6" width="17.42578125" customWidth="1"/>
  </cols>
  <sheetData>
    <row r="1" spans="1:6" ht="15.75" customHeight="1">
      <c r="A1" s="87" t="s">
        <v>3586</v>
      </c>
      <c r="B1" s="87" t="s">
        <v>2</v>
      </c>
      <c r="C1" s="87" t="s">
        <v>3435</v>
      </c>
      <c r="D1" s="87" t="s">
        <v>3587</v>
      </c>
      <c r="E1" s="88" t="s">
        <v>3588</v>
      </c>
      <c r="F1" s="88" t="s">
        <v>3589</v>
      </c>
    </row>
    <row r="2" spans="1:6">
      <c r="A2" s="90" t="s">
        <v>3590</v>
      </c>
      <c r="B2" s="90" t="s">
        <v>3591</v>
      </c>
      <c r="C2" s="90" t="s">
        <v>3482</v>
      </c>
      <c r="D2" s="91" t="s">
        <v>3592</v>
      </c>
      <c r="E2" s="92"/>
      <c r="F2" s="89"/>
    </row>
    <row r="3" spans="1:6">
      <c r="A3" s="93" t="s">
        <v>3590</v>
      </c>
      <c r="B3" s="93" t="s">
        <v>3580</v>
      </c>
      <c r="C3" s="93" t="s">
        <v>3593</v>
      </c>
      <c r="D3" s="94" t="s">
        <v>3594</v>
      </c>
      <c r="E3" s="96" t="s">
        <v>3595</v>
      </c>
      <c r="F3" s="86" t="s">
        <v>3596</v>
      </c>
    </row>
    <row r="4" spans="1:6">
      <c r="A4" s="93" t="s">
        <v>3590</v>
      </c>
      <c r="B4" s="93" t="s">
        <v>1764</v>
      </c>
      <c r="C4" s="93" t="s">
        <v>3482</v>
      </c>
      <c r="D4" s="95" t="s">
        <v>3597</v>
      </c>
      <c r="E4" s="97"/>
      <c r="F4" s="86"/>
    </row>
    <row r="5" spans="1:6">
      <c r="A5" s="93" t="s">
        <v>3590</v>
      </c>
      <c r="B5" s="93" t="s">
        <v>610</v>
      </c>
      <c r="C5" s="93" t="s">
        <v>3502</v>
      </c>
      <c r="D5" s="95" t="s">
        <v>3592</v>
      </c>
      <c r="E5" s="97"/>
      <c r="F5" s="86"/>
    </row>
    <row r="6" spans="1:6">
      <c r="A6" s="93" t="s">
        <v>3598</v>
      </c>
      <c r="B6" s="93" t="s">
        <v>3599</v>
      </c>
      <c r="C6" s="93" t="s">
        <v>3482</v>
      </c>
      <c r="D6" s="95" t="s">
        <v>3592</v>
      </c>
      <c r="E6" s="97"/>
      <c r="F6" s="86"/>
    </row>
    <row r="7" spans="1:6">
      <c r="A7" s="100" t="s">
        <v>3598</v>
      </c>
      <c r="B7" s="100" t="s">
        <v>1910</v>
      </c>
      <c r="C7" s="100" t="s">
        <v>3502</v>
      </c>
      <c r="D7" s="101" t="s">
        <v>3592</v>
      </c>
      <c r="E7" s="102"/>
      <c r="F7" s="103"/>
    </row>
    <row r="8" spans="1:6">
      <c r="A8" s="93" t="s">
        <v>3600</v>
      </c>
      <c r="B8" s="93" t="s">
        <v>3601</v>
      </c>
      <c r="C8" s="93" t="s">
        <v>3502</v>
      </c>
      <c r="D8" s="93" t="s">
        <v>3597</v>
      </c>
      <c r="E8" s="98"/>
      <c r="F8" s="86"/>
    </row>
    <row r="9" spans="1:6">
      <c r="A9" s="93" t="s">
        <v>3600</v>
      </c>
      <c r="B9" s="93" t="s">
        <v>3602</v>
      </c>
      <c r="C9" s="93" t="s">
        <v>3482</v>
      </c>
      <c r="D9" s="93" t="s">
        <v>3597</v>
      </c>
      <c r="E9" s="98"/>
      <c r="F9" s="86"/>
    </row>
    <row r="10" spans="1:6" ht="65.25" customHeight="1">
      <c r="A10" s="93" t="s">
        <v>3600</v>
      </c>
      <c r="B10" s="93" t="s">
        <v>297</v>
      </c>
      <c r="C10" s="93" t="s">
        <v>3603</v>
      </c>
      <c r="D10" s="99" t="s">
        <v>3604</v>
      </c>
      <c r="E10" s="98"/>
      <c r="F10" s="86"/>
    </row>
    <row r="11" spans="1:6">
      <c r="A11" s="109" t="s">
        <v>3600</v>
      </c>
      <c r="B11" s="109" t="s">
        <v>3605</v>
      </c>
      <c r="C11" s="109" t="s">
        <v>3482</v>
      </c>
      <c r="D11" s="109" t="s">
        <v>3597</v>
      </c>
      <c r="E11" s="109"/>
      <c r="F11" s="109"/>
    </row>
    <row r="12" spans="1:6">
      <c r="A12" s="86" t="s">
        <v>3600</v>
      </c>
      <c r="B12" s="86" t="s">
        <v>3606</v>
      </c>
      <c r="C12" s="86" t="s">
        <v>3603</v>
      </c>
      <c r="D12" s="86" t="s">
        <v>3597</v>
      </c>
      <c r="E12" s="86"/>
      <c r="F12" s="86"/>
    </row>
    <row r="13" spans="1:6">
      <c r="A13" s="86" t="s">
        <v>3600</v>
      </c>
      <c r="B13" s="86" t="s">
        <v>3082</v>
      </c>
      <c r="C13" s="86" t="s">
        <v>3502</v>
      </c>
      <c r="D13" s="86" t="s">
        <v>3597</v>
      </c>
      <c r="E13" s="110"/>
      <c r="F13" s="110"/>
    </row>
    <row r="14" spans="1:6">
      <c r="A14" s="103" t="s">
        <v>3600</v>
      </c>
      <c r="B14" s="103" t="s">
        <v>3607</v>
      </c>
      <c r="C14" s="103" t="s">
        <v>3482</v>
      </c>
      <c r="D14" s="103" t="s">
        <v>3597</v>
      </c>
      <c r="E14" s="111"/>
      <c r="F14" s="111"/>
    </row>
    <row r="15" spans="1:6">
      <c r="A15" s="109" t="s">
        <v>3600</v>
      </c>
      <c r="B15" s="109" t="s">
        <v>574</v>
      </c>
      <c r="C15" s="109" t="s">
        <v>3603</v>
      </c>
      <c r="D15" s="109" t="s">
        <v>3597</v>
      </c>
      <c r="E15" s="109"/>
      <c r="F15" s="109"/>
    </row>
    <row r="16" spans="1:6">
      <c r="A16" s="86" t="s">
        <v>3600</v>
      </c>
      <c r="B16" s="86" t="s">
        <v>2657</v>
      </c>
      <c r="C16" s="86" t="s">
        <v>3603</v>
      </c>
      <c r="D16" s="86" t="s">
        <v>3592</v>
      </c>
      <c r="E16" s="86"/>
      <c r="F16" s="86"/>
    </row>
    <row r="17" spans="1:6">
      <c r="A17" s="112" t="s">
        <v>3600</v>
      </c>
      <c r="B17" s="112" t="s">
        <v>3608</v>
      </c>
      <c r="C17" s="112" t="s">
        <v>3482</v>
      </c>
      <c r="D17" s="112" t="s">
        <v>3597</v>
      </c>
      <c r="E17" s="112"/>
      <c r="F17" s="112"/>
    </row>
    <row r="18" spans="1:6">
      <c r="A18" s="103" t="s">
        <v>3600</v>
      </c>
      <c r="B18" s="103" t="s">
        <v>3609</v>
      </c>
      <c r="C18" s="103" t="s">
        <v>3482</v>
      </c>
      <c r="D18" s="103" t="s">
        <v>3610</v>
      </c>
      <c r="E18" s="103"/>
      <c r="F18" s="103"/>
    </row>
    <row r="19" spans="1:6">
      <c r="A19" s="86" t="s">
        <v>3600</v>
      </c>
      <c r="B19" s="86" t="s">
        <v>1256</v>
      </c>
      <c r="C19" s="86" t="s">
        <v>3603</v>
      </c>
      <c r="D19" s="86"/>
      <c r="E19" s="86"/>
      <c r="F19" s="86"/>
    </row>
    <row r="20" spans="1:6">
      <c r="A20" s="86" t="s">
        <v>3600</v>
      </c>
      <c r="B20" s="86" t="s">
        <v>957</v>
      </c>
      <c r="C20" s="86" t="s">
        <v>3603</v>
      </c>
      <c r="D20" s="86"/>
      <c r="E20" s="86"/>
      <c r="F20" s="86"/>
    </row>
    <row r="23" spans="1:6" ht="15.75" customHeight="1">
      <c r="A23" s="87" t="s">
        <v>3586</v>
      </c>
      <c r="B23" s="87" t="s">
        <v>196</v>
      </c>
      <c r="C23" s="87" t="s">
        <v>3435</v>
      </c>
      <c r="D23" s="87" t="s">
        <v>3587</v>
      </c>
      <c r="E23" s="88" t="s">
        <v>3611</v>
      </c>
      <c r="F23" s="88" t="s">
        <v>3589</v>
      </c>
    </row>
    <row r="24" spans="1:6">
      <c r="A24" s="90" t="s">
        <v>3590</v>
      </c>
      <c r="B24" s="90" t="s">
        <v>3606</v>
      </c>
      <c r="C24" s="90" t="s">
        <v>3502</v>
      </c>
      <c r="D24" s="91" t="s">
        <v>3592</v>
      </c>
      <c r="E24" s="92"/>
      <c r="F24" s="89"/>
    </row>
    <row r="25" spans="1:6">
      <c r="A25" s="93"/>
      <c r="B25" s="93"/>
      <c r="C25" s="93"/>
      <c r="D25" s="94"/>
      <c r="E25" s="96"/>
      <c r="F25" s="86"/>
    </row>
    <row r="26" spans="1:6">
      <c r="A26" s="93"/>
      <c r="B26" s="93"/>
      <c r="C26" s="93"/>
      <c r="D26" s="95"/>
      <c r="E26" s="97"/>
      <c r="F26" s="86"/>
    </row>
    <row r="27" spans="1:6">
      <c r="A27" s="93"/>
      <c r="B27" s="93"/>
      <c r="C27" s="93"/>
      <c r="D27" s="95"/>
      <c r="E27" s="97"/>
      <c r="F27" s="86"/>
    </row>
    <row r="28" spans="1:6">
      <c r="A28" s="93"/>
      <c r="B28" s="93"/>
      <c r="C28" s="93"/>
      <c r="D28" s="95"/>
      <c r="E28" s="97"/>
      <c r="F28" s="86"/>
    </row>
    <row r="29" spans="1:6">
      <c r="A29" s="93"/>
      <c r="B29" s="93"/>
      <c r="C29" s="93"/>
      <c r="D29" s="95"/>
      <c r="E29" s="97"/>
      <c r="F29" s="8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3"/>
  <sheetViews>
    <sheetView topLeftCell="B1" workbookViewId="0">
      <selection activeCell="I2" sqref="I2:I5"/>
    </sheetView>
  </sheetViews>
  <sheetFormatPr defaultRowHeight="15"/>
  <cols>
    <col min="5" max="5" width="23.5703125" customWidth="1"/>
    <col min="6" max="6" width="16" customWidth="1"/>
    <col min="7" max="7" width="0.140625" customWidth="1"/>
    <col min="8" max="8" width="15.5703125" customWidth="1"/>
    <col min="9" max="9" width="17.140625" customWidth="1"/>
    <col min="10" max="10" width="8" customWidth="1"/>
    <col min="11" max="11" width="14" customWidth="1"/>
    <col min="12" max="12" width="13.140625" customWidth="1"/>
  </cols>
  <sheetData>
    <row r="1" spans="1:12">
      <c r="A1" t="s">
        <v>3612</v>
      </c>
      <c r="B1" t="s">
        <v>3435</v>
      </c>
      <c r="C1" t="s">
        <v>3432</v>
      </c>
      <c r="D1" t="s">
        <v>3613</v>
      </c>
      <c r="E1" t="s">
        <v>3614</v>
      </c>
      <c r="F1" t="s">
        <v>3615</v>
      </c>
      <c r="G1" t="s">
        <v>3616</v>
      </c>
      <c r="H1" t="s">
        <v>3617</v>
      </c>
      <c r="I1" t="s">
        <v>3618</v>
      </c>
      <c r="J1" t="s">
        <v>3619</v>
      </c>
      <c r="K1" t="s">
        <v>3620</v>
      </c>
      <c r="L1" t="s">
        <v>3621</v>
      </c>
    </row>
    <row r="2" spans="1:12">
      <c r="A2" t="s">
        <v>3490</v>
      </c>
      <c r="B2" t="s">
        <v>3622</v>
      </c>
      <c r="C2" t="s">
        <v>3623</v>
      </c>
      <c r="D2" t="s">
        <v>3445</v>
      </c>
      <c r="E2" t="s">
        <v>3481</v>
      </c>
      <c r="F2" t="s">
        <v>3468</v>
      </c>
      <c r="G2" s="2" t="s">
        <v>3442</v>
      </c>
      <c r="H2" t="s">
        <v>3624</v>
      </c>
      <c r="I2" t="s">
        <v>60</v>
      </c>
      <c r="J2" t="s">
        <v>3443</v>
      </c>
      <c r="K2" t="s">
        <v>3476</v>
      </c>
      <c r="L2" t="s">
        <v>3550</v>
      </c>
    </row>
    <row r="3" spans="1:12">
      <c r="A3" t="s">
        <v>3491</v>
      </c>
      <c r="B3" t="s">
        <v>3625</v>
      </c>
      <c r="C3" t="s">
        <v>3626</v>
      </c>
      <c r="D3" t="s">
        <v>3627</v>
      </c>
      <c r="E3" t="s">
        <v>3454</v>
      </c>
      <c r="F3" t="s">
        <v>3478</v>
      </c>
      <c r="G3" s="2" t="s">
        <v>3455</v>
      </c>
      <c r="H3" t="s">
        <v>3513</v>
      </c>
      <c r="I3" t="s">
        <v>3628</v>
      </c>
      <c r="J3" t="s">
        <v>3629</v>
      </c>
      <c r="K3" t="s">
        <v>3479</v>
      </c>
      <c r="L3" t="s">
        <v>3630</v>
      </c>
    </row>
    <row r="4" spans="1:12">
      <c r="A4" t="s">
        <v>3631</v>
      </c>
      <c r="B4" t="s">
        <v>3485</v>
      </c>
      <c r="D4" t="s">
        <v>3471</v>
      </c>
      <c r="E4" t="s">
        <v>3460</v>
      </c>
      <c r="F4" t="s">
        <v>3464</v>
      </c>
      <c r="G4" s="2" t="s">
        <v>3446</v>
      </c>
      <c r="H4" t="s">
        <v>3632</v>
      </c>
      <c r="I4" t="s">
        <v>390</v>
      </c>
      <c r="L4" t="s">
        <v>3465</v>
      </c>
    </row>
    <row r="5" spans="1:12">
      <c r="A5" t="s">
        <v>3633</v>
      </c>
      <c r="B5" t="s">
        <v>3509</v>
      </c>
      <c r="D5" t="s">
        <v>3634</v>
      </c>
      <c r="E5" t="s">
        <v>3439</v>
      </c>
      <c r="F5" t="s">
        <v>3448</v>
      </c>
      <c r="G5" s="2" t="s">
        <v>3493</v>
      </c>
      <c r="I5" t="s">
        <v>661</v>
      </c>
      <c r="L5" t="s">
        <v>3449</v>
      </c>
    </row>
    <row r="6" spans="1:12">
      <c r="A6" t="s">
        <v>3635</v>
      </c>
      <c r="D6" t="s">
        <v>3461</v>
      </c>
      <c r="E6" t="s">
        <v>3453</v>
      </c>
      <c r="F6" t="s">
        <v>3458</v>
      </c>
      <c r="G6" s="2" t="s">
        <v>3475</v>
      </c>
      <c r="L6" t="s">
        <v>3459</v>
      </c>
    </row>
    <row r="7" spans="1:12">
      <c r="A7" t="s">
        <v>3476</v>
      </c>
      <c r="D7" t="s">
        <v>3483</v>
      </c>
      <c r="E7" t="s">
        <v>3457</v>
      </c>
      <c r="F7" t="s">
        <v>3451</v>
      </c>
      <c r="G7" t="s">
        <v>3441</v>
      </c>
      <c r="L7" t="s">
        <v>3452</v>
      </c>
    </row>
    <row r="8" spans="1:12">
      <c r="A8" t="s">
        <v>3499</v>
      </c>
      <c r="D8" t="s">
        <v>3510</v>
      </c>
      <c r="E8" t="s">
        <v>3514</v>
      </c>
      <c r="F8" t="s">
        <v>3486</v>
      </c>
      <c r="G8" t="s">
        <v>3466</v>
      </c>
      <c r="L8" t="s">
        <v>3636</v>
      </c>
    </row>
    <row r="9" spans="1:12">
      <c r="A9" t="s">
        <v>3637</v>
      </c>
      <c r="D9" t="s">
        <v>3521</v>
      </c>
      <c r="E9" t="s">
        <v>3447</v>
      </c>
      <c r="F9" t="s">
        <v>3462</v>
      </c>
      <c r="L9" t="s">
        <v>3463</v>
      </c>
    </row>
    <row r="10" spans="1:12">
      <c r="A10" t="s">
        <v>3554</v>
      </c>
      <c r="E10" t="s">
        <v>3474</v>
      </c>
      <c r="F10" t="s">
        <v>3441</v>
      </c>
      <c r="L10" t="s">
        <v>3441</v>
      </c>
    </row>
    <row r="11" spans="1:12">
      <c r="A11" t="s">
        <v>3638</v>
      </c>
      <c r="E11" t="s">
        <v>3456</v>
      </c>
    </row>
    <row r="12" spans="1:12">
      <c r="A12" t="s">
        <v>3506</v>
      </c>
      <c r="E12" t="s">
        <v>3488</v>
      </c>
    </row>
    <row r="13" spans="1:12">
      <c r="A13" t="s">
        <v>3498</v>
      </c>
      <c r="E13" t="s">
        <v>3470</v>
      </c>
    </row>
    <row r="14" spans="1:12">
      <c r="A14" t="s">
        <v>3639</v>
      </c>
      <c r="E14" t="s">
        <v>3450</v>
      </c>
    </row>
    <row r="15" spans="1:12">
      <c r="A15" t="s">
        <v>3552</v>
      </c>
      <c r="E15" t="s">
        <v>3524</v>
      </c>
    </row>
    <row r="16" spans="1:12">
      <c r="A16" t="s">
        <v>3640</v>
      </c>
    </row>
    <row r="17" spans="1:1">
      <c r="A17" t="s">
        <v>3641</v>
      </c>
    </row>
    <row r="18" spans="1:1">
      <c r="A18" t="s">
        <v>3551</v>
      </c>
    </row>
    <row r="19" spans="1:1">
      <c r="A19" t="s">
        <v>3443</v>
      </c>
    </row>
    <row r="20" spans="1:1">
      <c r="A20" t="s">
        <v>3479</v>
      </c>
    </row>
    <row r="21" spans="1:1">
      <c r="A21" t="s">
        <v>3578</v>
      </c>
    </row>
    <row r="22" spans="1:1">
      <c r="A22" t="s">
        <v>3500</v>
      </c>
    </row>
    <row r="23" spans="1:1">
      <c r="A23" t="s">
        <v>3561</v>
      </c>
    </row>
  </sheetData>
  <dataValidations count="2">
    <dataValidation type="list" allowBlank="1" showInputMessage="1" showErrorMessage="1" sqref="A1" xr:uid="{00000000-0002-0000-0400-000000000000}">
      <formula1>$A$2:$A$24</formula1>
    </dataValidation>
    <dataValidation allowBlank="1" showInputMessage="1" showErrorMessage="1" sqref="E1:E9" xr:uid="{00000000-0002-0000-0400-000001000000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AC146"/>
  <sheetViews>
    <sheetView topLeftCell="C66" workbookViewId="0">
      <selection activeCell="AE125" sqref="AE125"/>
    </sheetView>
  </sheetViews>
  <sheetFormatPr defaultRowHeight="15"/>
  <cols>
    <col min="1" max="1" width="20.140625" bestFit="1" customWidth="1"/>
    <col min="2" max="2" width="15.28515625" customWidth="1"/>
    <col min="3" max="3" width="15" bestFit="1" customWidth="1"/>
    <col min="4" max="4" width="6.85546875" bestFit="1" customWidth="1"/>
    <col min="5" max="5" width="8.28515625" bestFit="1" customWidth="1"/>
    <col min="6" max="6" width="9.140625" bestFit="1" customWidth="1"/>
    <col min="7" max="7" width="12.7109375" bestFit="1" customWidth="1"/>
    <col min="8" max="8" width="10" customWidth="1"/>
    <col min="9" max="9" width="7.28515625" customWidth="1"/>
    <col min="10" max="10" width="8" bestFit="1" customWidth="1"/>
    <col min="11" max="11" width="4.42578125" bestFit="1" customWidth="1"/>
    <col min="12" max="12" width="11.140625" bestFit="1" customWidth="1"/>
    <col min="13" max="13" width="12.5703125" bestFit="1" customWidth="1"/>
    <col min="14" max="14" width="14" bestFit="1" customWidth="1"/>
    <col min="15" max="15" width="6.7109375" bestFit="1" customWidth="1"/>
    <col min="16" max="16" width="13.28515625" bestFit="1" customWidth="1"/>
    <col min="17" max="17" width="10.42578125" customWidth="1"/>
    <col min="18" max="18" width="7.7109375" customWidth="1"/>
    <col min="19" max="19" width="15.7109375" bestFit="1" customWidth="1"/>
    <col min="20" max="20" width="9.28515625" customWidth="1"/>
    <col min="21" max="21" width="12.42578125" bestFit="1" customWidth="1"/>
    <col min="22" max="22" width="20.7109375" customWidth="1"/>
    <col min="23" max="23" width="6.28515625" customWidth="1"/>
    <col min="24" max="24" width="6.140625" bestFit="1" customWidth="1"/>
    <col min="25" max="25" width="16.140625" bestFit="1" customWidth="1"/>
    <col min="26" max="26" width="10.7109375" bestFit="1" customWidth="1"/>
    <col min="27" max="27" width="19.85546875" bestFit="1" customWidth="1"/>
    <col min="28" max="28" width="12.5703125" customWidth="1"/>
    <col min="30" max="30" width="16.140625" customWidth="1"/>
    <col min="31" max="31" width="32.42578125" customWidth="1"/>
  </cols>
  <sheetData>
    <row r="3" spans="1:20">
      <c r="A3" s="1" t="s">
        <v>3642</v>
      </c>
      <c r="B3" s="1" t="s">
        <v>3430</v>
      </c>
    </row>
    <row r="4" spans="1:20">
      <c r="A4" s="1" t="s">
        <v>3426</v>
      </c>
      <c r="B4" t="s">
        <v>3446</v>
      </c>
      <c r="C4" t="s">
        <v>3475</v>
      </c>
      <c r="D4" t="s">
        <v>3473</v>
      </c>
      <c r="E4" t="s">
        <v>3442</v>
      </c>
      <c r="F4" t="s">
        <v>3467</v>
      </c>
      <c r="G4" t="s">
        <v>3493</v>
      </c>
      <c r="H4" t="s">
        <v>3455</v>
      </c>
      <c r="I4" t="s">
        <v>3466</v>
      </c>
      <c r="J4" t="s">
        <v>3469</v>
      </c>
      <c r="K4" t="s">
        <v>3483</v>
      </c>
      <c r="L4" t="s">
        <v>3643</v>
      </c>
      <c r="M4" t="s">
        <v>3644</v>
      </c>
      <c r="R4" s="5" t="s">
        <v>3426</v>
      </c>
      <c r="S4" t="s">
        <v>3645</v>
      </c>
      <c r="T4" s="8" t="s">
        <v>3646</v>
      </c>
    </row>
    <row r="5" spans="1:20">
      <c r="A5" t="s">
        <v>3488</v>
      </c>
      <c r="B5">
        <v>1</v>
      </c>
      <c r="E5">
        <v>1</v>
      </c>
      <c r="H5">
        <v>2</v>
      </c>
      <c r="M5">
        <v>4</v>
      </c>
      <c r="R5" s="3" t="s">
        <v>3474</v>
      </c>
      <c r="S5">
        <v>4</v>
      </c>
      <c r="T5" s="4" t="s">
        <v>3647</v>
      </c>
    </row>
    <row r="6" spans="1:20">
      <c r="A6" t="s">
        <v>3481</v>
      </c>
      <c r="B6">
        <v>2</v>
      </c>
      <c r="E6">
        <v>5</v>
      </c>
      <c r="H6">
        <v>2</v>
      </c>
      <c r="I6">
        <v>4</v>
      </c>
      <c r="M6">
        <v>13</v>
      </c>
      <c r="R6" s="3" t="s">
        <v>3450</v>
      </c>
      <c r="S6">
        <v>5</v>
      </c>
      <c r="T6" s="4" t="s">
        <v>3647</v>
      </c>
    </row>
    <row r="7" spans="1:20">
      <c r="A7" t="s">
        <v>3474</v>
      </c>
      <c r="B7">
        <v>6</v>
      </c>
      <c r="E7">
        <v>6</v>
      </c>
      <c r="H7">
        <v>2</v>
      </c>
      <c r="I7">
        <v>2</v>
      </c>
      <c r="M7">
        <v>16</v>
      </c>
      <c r="R7" s="3" t="s">
        <v>3648</v>
      </c>
      <c r="S7">
        <v>16</v>
      </c>
      <c r="T7" s="4" t="s">
        <v>3647</v>
      </c>
    </row>
    <row r="8" spans="1:20">
      <c r="A8" t="s">
        <v>3450</v>
      </c>
      <c r="B8">
        <v>3</v>
      </c>
      <c r="E8">
        <v>5</v>
      </c>
      <c r="H8">
        <v>3</v>
      </c>
      <c r="M8">
        <v>11</v>
      </c>
      <c r="R8" s="3" t="s">
        <v>3454</v>
      </c>
      <c r="S8">
        <v>12</v>
      </c>
      <c r="T8" s="4" t="s">
        <v>3647</v>
      </c>
    </row>
    <row r="9" spans="1:20">
      <c r="A9" t="s">
        <v>3470</v>
      </c>
      <c r="B9">
        <v>2</v>
      </c>
      <c r="F9">
        <v>1</v>
      </c>
      <c r="G9">
        <v>1</v>
      </c>
      <c r="H9">
        <v>1</v>
      </c>
      <c r="I9">
        <v>1</v>
      </c>
      <c r="M9">
        <v>6</v>
      </c>
      <c r="R9" s="3" t="s">
        <v>3453</v>
      </c>
      <c r="S9">
        <v>20</v>
      </c>
      <c r="T9" s="4" t="s">
        <v>3647</v>
      </c>
    </row>
    <row r="10" spans="1:20">
      <c r="A10" t="s">
        <v>3456</v>
      </c>
      <c r="E10">
        <v>5</v>
      </c>
      <c r="H10">
        <v>4</v>
      </c>
      <c r="M10">
        <v>9</v>
      </c>
      <c r="R10" s="3" t="s">
        <v>3460</v>
      </c>
      <c r="S10">
        <v>3</v>
      </c>
      <c r="T10" s="4" t="s">
        <v>3647</v>
      </c>
    </row>
    <row r="11" spans="1:20">
      <c r="A11" t="s">
        <v>3439</v>
      </c>
      <c r="B11">
        <v>8</v>
      </c>
      <c r="C11">
        <v>2</v>
      </c>
      <c r="E11">
        <v>8</v>
      </c>
      <c r="G11">
        <v>2</v>
      </c>
      <c r="H11">
        <v>1</v>
      </c>
      <c r="I11">
        <v>5</v>
      </c>
      <c r="K11">
        <v>1</v>
      </c>
      <c r="L11">
        <v>1</v>
      </c>
      <c r="M11">
        <v>28</v>
      </c>
      <c r="R11" s="3" t="s">
        <v>3524</v>
      </c>
      <c r="S11">
        <v>2</v>
      </c>
      <c r="T11" s="4" t="s">
        <v>3647</v>
      </c>
    </row>
    <row r="12" spans="1:20">
      <c r="A12" t="s">
        <v>3447</v>
      </c>
      <c r="B12">
        <v>10</v>
      </c>
      <c r="C12">
        <v>1</v>
      </c>
      <c r="E12">
        <v>19</v>
      </c>
      <c r="F12">
        <v>2</v>
      </c>
      <c r="H12">
        <v>16</v>
      </c>
      <c r="I12">
        <v>8</v>
      </c>
      <c r="M12">
        <v>56</v>
      </c>
      <c r="R12" s="3" t="s">
        <v>3481</v>
      </c>
      <c r="S12">
        <v>8</v>
      </c>
      <c r="T12" s="4" t="s">
        <v>3442</v>
      </c>
    </row>
    <row r="13" spans="1:20">
      <c r="A13" t="s">
        <v>3454</v>
      </c>
      <c r="B13">
        <v>5</v>
      </c>
      <c r="C13">
        <v>2</v>
      </c>
      <c r="E13">
        <v>9</v>
      </c>
      <c r="F13">
        <v>1</v>
      </c>
      <c r="G13">
        <v>1</v>
      </c>
      <c r="H13">
        <v>5</v>
      </c>
      <c r="I13">
        <v>2</v>
      </c>
      <c r="M13">
        <v>25</v>
      </c>
      <c r="R13" s="3" t="s">
        <v>3439</v>
      </c>
      <c r="S13">
        <v>17</v>
      </c>
      <c r="T13" s="4" t="s">
        <v>3442</v>
      </c>
    </row>
    <row r="14" spans="1:20">
      <c r="A14" t="s">
        <v>3453</v>
      </c>
      <c r="B14">
        <v>5</v>
      </c>
      <c r="C14">
        <v>1</v>
      </c>
      <c r="E14">
        <v>7</v>
      </c>
      <c r="F14">
        <v>2</v>
      </c>
      <c r="H14">
        <v>8</v>
      </c>
      <c r="I14">
        <v>5</v>
      </c>
      <c r="M14">
        <v>28</v>
      </c>
      <c r="R14" s="3" t="s">
        <v>3447</v>
      </c>
      <c r="S14">
        <v>19</v>
      </c>
      <c r="T14" s="4" t="s">
        <v>3442</v>
      </c>
    </row>
    <row r="15" spans="1:20">
      <c r="A15" t="s">
        <v>3457</v>
      </c>
      <c r="B15">
        <v>4</v>
      </c>
      <c r="D15">
        <v>1</v>
      </c>
      <c r="E15">
        <v>19</v>
      </c>
      <c r="G15">
        <v>1</v>
      </c>
      <c r="H15">
        <v>2</v>
      </c>
      <c r="I15">
        <v>8</v>
      </c>
      <c r="J15">
        <v>1</v>
      </c>
      <c r="L15">
        <v>2</v>
      </c>
      <c r="M15">
        <v>38</v>
      </c>
      <c r="R15" s="3" t="s">
        <v>3457</v>
      </c>
      <c r="S15">
        <v>15</v>
      </c>
      <c r="T15" s="4" t="s">
        <v>3442</v>
      </c>
    </row>
    <row r="16" spans="1:20">
      <c r="A16" t="s">
        <v>3514</v>
      </c>
      <c r="B16">
        <v>1</v>
      </c>
      <c r="E16">
        <v>2</v>
      </c>
      <c r="H16">
        <v>1</v>
      </c>
      <c r="I16">
        <v>10</v>
      </c>
      <c r="M16">
        <v>14</v>
      </c>
      <c r="R16" s="3" t="s">
        <v>3488</v>
      </c>
      <c r="S16">
        <v>2</v>
      </c>
      <c r="T16" s="4" t="s">
        <v>3649</v>
      </c>
    </row>
    <row r="17" spans="1:20">
      <c r="A17" t="s">
        <v>3460</v>
      </c>
      <c r="B17">
        <v>2</v>
      </c>
      <c r="E17">
        <v>2</v>
      </c>
      <c r="H17">
        <v>2</v>
      </c>
      <c r="I17">
        <v>3</v>
      </c>
      <c r="M17">
        <v>9</v>
      </c>
      <c r="R17" s="3" t="s">
        <v>3470</v>
      </c>
      <c r="S17">
        <v>7</v>
      </c>
      <c r="T17" s="4" t="s">
        <v>3649</v>
      </c>
    </row>
    <row r="18" spans="1:20">
      <c r="A18" t="s">
        <v>3524</v>
      </c>
      <c r="B18">
        <v>3</v>
      </c>
      <c r="E18">
        <v>3</v>
      </c>
      <c r="H18">
        <v>3</v>
      </c>
      <c r="I18">
        <v>2</v>
      </c>
      <c r="M18">
        <v>11</v>
      </c>
      <c r="R18" s="3" t="s">
        <v>3456</v>
      </c>
      <c r="S18">
        <v>6</v>
      </c>
      <c r="T18" s="4" t="s">
        <v>3649</v>
      </c>
    </row>
    <row r="19" spans="1:20">
      <c r="A19" t="s">
        <v>3644</v>
      </c>
      <c r="B19">
        <v>52</v>
      </c>
      <c r="C19">
        <v>6</v>
      </c>
      <c r="D19">
        <v>1</v>
      </c>
      <c r="E19">
        <v>91</v>
      </c>
      <c r="F19">
        <v>6</v>
      </c>
      <c r="G19">
        <v>5</v>
      </c>
      <c r="H19">
        <v>52</v>
      </c>
      <c r="I19">
        <v>50</v>
      </c>
      <c r="J19">
        <v>1</v>
      </c>
      <c r="K19">
        <v>1</v>
      </c>
      <c r="L19">
        <v>3</v>
      </c>
      <c r="M19">
        <v>268</v>
      </c>
      <c r="R19" s="6" t="s">
        <v>3514</v>
      </c>
      <c r="S19">
        <v>3</v>
      </c>
      <c r="T19" s="7" t="s">
        <v>3466</v>
      </c>
    </row>
    <row r="23" spans="1:20">
      <c r="L23" t="s">
        <v>3650</v>
      </c>
    </row>
    <row r="24" spans="1:20">
      <c r="L24" t="s">
        <v>3651</v>
      </c>
    </row>
    <row r="25" spans="1:20">
      <c r="L25" t="s">
        <v>3652</v>
      </c>
    </row>
    <row r="33" spans="1:19">
      <c r="M33" t="s">
        <v>3653</v>
      </c>
    </row>
    <row r="34" spans="1:19">
      <c r="M34" t="s">
        <v>3654</v>
      </c>
    </row>
    <row r="35" spans="1:19">
      <c r="M35" t="s">
        <v>3655</v>
      </c>
    </row>
    <row r="36" spans="1:19">
      <c r="M36" t="s">
        <v>3656</v>
      </c>
    </row>
    <row r="45" spans="1:19">
      <c r="A45" s="1" t="s">
        <v>3642</v>
      </c>
      <c r="B45" s="1" t="s">
        <v>3430</v>
      </c>
      <c r="P45" s="5" t="s">
        <v>3426</v>
      </c>
      <c r="Q45" t="s">
        <v>3645</v>
      </c>
      <c r="R45" s="8" t="s">
        <v>3646</v>
      </c>
      <c r="S45" s="8" t="s">
        <v>3657</v>
      </c>
    </row>
    <row r="46" spans="1:19">
      <c r="A46" s="1" t="s">
        <v>3426</v>
      </c>
      <c r="B46" t="s">
        <v>3446</v>
      </c>
      <c r="C46" t="s">
        <v>3475</v>
      </c>
      <c r="D46" t="s">
        <v>3473</v>
      </c>
      <c r="E46" t="s">
        <v>3442</v>
      </c>
      <c r="F46" t="s">
        <v>3467</v>
      </c>
      <c r="G46" t="s">
        <v>3493</v>
      </c>
      <c r="H46" t="s">
        <v>3455</v>
      </c>
      <c r="I46" t="s">
        <v>3466</v>
      </c>
      <c r="J46" t="s">
        <v>3469</v>
      </c>
      <c r="K46" t="s">
        <v>3483</v>
      </c>
      <c r="L46" t="s">
        <v>3441</v>
      </c>
      <c r="M46" t="s">
        <v>3644</v>
      </c>
      <c r="P46" t="s">
        <v>3488</v>
      </c>
      <c r="Q46">
        <v>5</v>
      </c>
      <c r="R46" s="4" t="s">
        <v>3649</v>
      </c>
      <c r="S46" t="str">
        <f t="shared" ref="S46:S60" si="0">Q46 &amp; " empresas | " &amp; R46 &amp; " emp"</f>
        <v>5 empresas | 500-1000 emp</v>
      </c>
    </row>
    <row r="47" spans="1:19">
      <c r="A47" t="s">
        <v>3488</v>
      </c>
      <c r="B47">
        <v>1</v>
      </c>
      <c r="E47">
        <v>1</v>
      </c>
      <c r="H47">
        <v>2</v>
      </c>
      <c r="M47">
        <v>4</v>
      </c>
      <c r="P47" t="s">
        <v>3481</v>
      </c>
      <c r="Q47">
        <v>9</v>
      </c>
      <c r="R47" s="4" t="s">
        <v>3649</v>
      </c>
      <c r="S47" t="str">
        <f t="shared" si="0"/>
        <v>9 empresas | 500-1000 emp</v>
      </c>
    </row>
    <row r="48" spans="1:19">
      <c r="A48" t="s">
        <v>3481</v>
      </c>
      <c r="B48">
        <v>2</v>
      </c>
      <c r="E48">
        <v>5</v>
      </c>
      <c r="H48">
        <v>2</v>
      </c>
      <c r="I48">
        <v>4</v>
      </c>
      <c r="M48">
        <v>13</v>
      </c>
      <c r="P48" t="s">
        <v>3474</v>
      </c>
      <c r="Q48">
        <v>12</v>
      </c>
      <c r="R48" s="4" t="s">
        <v>3647</v>
      </c>
      <c r="S48" t="str">
        <f t="shared" si="0"/>
        <v>12 empresas | 1000-5000 emp</v>
      </c>
    </row>
    <row r="49" spans="1:29">
      <c r="A49" t="s">
        <v>3474</v>
      </c>
      <c r="B49">
        <v>6</v>
      </c>
      <c r="E49">
        <v>6</v>
      </c>
      <c r="H49">
        <v>2</v>
      </c>
      <c r="I49">
        <v>2</v>
      </c>
      <c r="M49">
        <v>16</v>
      </c>
      <c r="P49" t="s">
        <v>3450</v>
      </c>
      <c r="Q49">
        <v>10</v>
      </c>
      <c r="R49" s="4" t="s">
        <v>3647</v>
      </c>
      <c r="S49" t="str">
        <f t="shared" si="0"/>
        <v>10 empresas | 1000-5000 emp</v>
      </c>
      <c r="AC49" s="4"/>
    </row>
    <row r="50" spans="1:29">
      <c r="A50" t="s">
        <v>3450</v>
      </c>
      <c r="B50">
        <v>3</v>
      </c>
      <c r="E50">
        <v>5</v>
      </c>
      <c r="H50">
        <v>3</v>
      </c>
      <c r="M50">
        <v>11</v>
      </c>
      <c r="P50" t="s">
        <v>3470</v>
      </c>
      <c r="Q50">
        <v>6</v>
      </c>
      <c r="R50" s="4" t="s">
        <v>3647</v>
      </c>
      <c r="S50" t="str">
        <f t="shared" si="0"/>
        <v>6 empresas | 1000-5000 emp</v>
      </c>
    </row>
    <row r="51" spans="1:29">
      <c r="A51" t="s">
        <v>3470</v>
      </c>
      <c r="B51">
        <v>2</v>
      </c>
      <c r="F51">
        <v>1</v>
      </c>
      <c r="G51">
        <v>1</v>
      </c>
      <c r="H51">
        <v>1</v>
      </c>
      <c r="I51">
        <v>1</v>
      </c>
      <c r="M51">
        <v>6</v>
      </c>
      <c r="P51" t="s">
        <v>3456</v>
      </c>
      <c r="Q51">
        <v>10</v>
      </c>
      <c r="R51" s="4" t="s">
        <v>3649</v>
      </c>
      <c r="S51" t="str">
        <f t="shared" si="0"/>
        <v>10 empresas | 500-1000 emp</v>
      </c>
    </row>
    <row r="52" spans="1:29">
      <c r="A52" t="s">
        <v>3456</v>
      </c>
      <c r="E52">
        <v>5</v>
      </c>
      <c r="H52">
        <v>4</v>
      </c>
      <c r="L52">
        <v>1</v>
      </c>
      <c r="M52">
        <v>10</v>
      </c>
      <c r="P52" t="s">
        <v>3439</v>
      </c>
      <c r="Q52">
        <v>30</v>
      </c>
      <c r="R52" s="4" t="s">
        <v>3442</v>
      </c>
      <c r="S52" t="str">
        <f t="shared" si="0"/>
        <v>30 empresas | 200-500 emp</v>
      </c>
    </row>
    <row r="53" spans="1:29">
      <c r="A53" t="s">
        <v>3439</v>
      </c>
      <c r="B53">
        <v>8</v>
      </c>
      <c r="C53">
        <v>2</v>
      </c>
      <c r="E53">
        <v>8</v>
      </c>
      <c r="G53">
        <v>2</v>
      </c>
      <c r="H53">
        <v>1</v>
      </c>
      <c r="I53">
        <v>5</v>
      </c>
      <c r="K53">
        <v>1</v>
      </c>
      <c r="L53">
        <v>2</v>
      </c>
      <c r="M53">
        <v>29</v>
      </c>
      <c r="P53" t="s">
        <v>3447</v>
      </c>
      <c r="Q53">
        <v>61</v>
      </c>
      <c r="R53" s="4" t="s">
        <v>3442</v>
      </c>
      <c r="S53" t="str">
        <f t="shared" si="0"/>
        <v>61 empresas | 200-500 emp</v>
      </c>
    </row>
    <row r="54" spans="1:29">
      <c r="A54" t="s">
        <v>3447</v>
      </c>
      <c r="B54">
        <v>10</v>
      </c>
      <c r="C54">
        <v>1</v>
      </c>
      <c r="E54">
        <v>19</v>
      </c>
      <c r="F54">
        <v>2</v>
      </c>
      <c r="H54">
        <v>16</v>
      </c>
      <c r="I54">
        <v>8</v>
      </c>
      <c r="L54">
        <v>9</v>
      </c>
      <c r="M54">
        <v>65</v>
      </c>
      <c r="P54" t="s">
        <v>3454</v>
      </c>
      <c r="Q54">
        <v>20</v>
      </c>
      <c r="R54" s="4" t="s">
        <v>3647</v>
      </c>
      <c r="S54" t="str">
        <f t="shared" si="0"/>
        <v>20 empresas | 1000-5000 emp</v>
      </c>
    </row>
    <row r="55" spans="1:29">
      <c r="A55" t="s">
        <v>3454</v>
      </c>
      <c r="B55">
        <v>5</v>
      </c>
      <c r="C55">
        <v>2</v>
      </c>
      <c r="E55">
        <v>9</v>
      </c>
      <c r="F55">
        <v>1</v>
      </c>
      <c r="G55">
        <v>1</v>
      </c>
      <c r="H55">
        <v>5</v>
      </c>
      <c r="I55">
        <v>2</v>
      </c>
      <c r="M55">
        <v>25</v>
      </c>
      <c r="P55" t="s">
        <v>3524</v>
      </c>
      <c r="Q55">
        <v>7</v>
      </c>
      <c r="R55" s="4" t="s">
        <v>3647</v>
      </c>
      <c r="S55" t="str">
        <f t="shared" si="0"/>
        <v>7 empresas | 1000-5000 emp</v>
      </c>
    </row>
    <row r="56" spans="1:29">
      <c r="A56" t="s">
        <v>3524</v>
      </c>
      <c r="B56">
        <v>3</v>
      </c>
      <c r="E56">
        <v>3</v>
      </c>
      <c r="H56">
        <v>3</v>
      </c>
      <c r="I56">
        <v>2</v>
      </c>
      <c r="M56">
        <v>11</v>
      </c>
      <c r="P56" t="s">
        <v>3453</v>
      </c>
      <c r="Q56">
        <v>28</v>
      </c>
      <c r="R56" s="4" t="s">
        <v>3647</v>
      </c>
      <c r="S56" t="str">
        <f t="shared" si="0"/>
        <v>28 empresas | 1000-5000 emp</v>
      </c>
    </row>
    <row r="57" spans="1:29">
      <c r="A57" t="s">
        <v>3453</v>
      </c>
      <c r="B57">
        <v>5</v>
      </c>
      <c r="C57">
        <v>1</v>
      </c>
      <c r="E57">
        <v>7</v>
      </c>
      <c r="F57">
        <v>2</v>
      </c>
      <c r="H57">
        <v>8</v>
      </c>
      <c r="I57">
        <v>5</v>
      </c>
      <c r="L57">
        <v>3</v>
      </c>
      <c r="M57">
        <v>31</v>
      </c>
      <c r="P57" t="s">
        <v>3457</v>
      </c>
      <c r="Q57">
        <v>31</v>
      </c>
      <c r="R57" s="4" t="s">
        <v>3442</v>
      </c>
      <c r="S57" t="str">
        <f t="shared" si="0"/>
        <v>31 empresas | 200-500 emp</v>
      </c>
      <c r="AC57" s="4"/>
    </row>
    <row r="58" spans="1:29">
      <c r="A58" t="s">
        <v>3457</v>
      </c>
      <c r="B58">
        <v>4</v>
      </c>
      <c r="D58">
        <v>1</v>
      </c>
      <c r="E58">
        <v>19</v>
      </c>
      <c r="G58">
        <v>1</v>
      </c>
      <c r="H58">
        <v>2</v>
      </c>
      <c r="I58">
        <v>8</v>
      </c>
      <c r="J58">
        <v>1</v>
      </c>
      <c r="L58">
        <v>1</v>
      </c>
      <c r="M58">
        <v>37</v>
      </c>
      <c r="P58" t="s">
        <v>3514</v>
      </c>
      <c r="Q58">
        <v>12</v>
      </c>
      <c r="R58" s="4" t="s">
        <v>3647</v>
      </c>
      <c r="S58" t="str">
        <f t="shared" si="0"/>
        <v>12 empresas | 1000-5000 emp</v>
      </c>
    </row>
    <row r="59" spans="1:29">
      <c r="A59" t="s">
        <v>3514</v>
      </c>
      <c r="B59">
        <v>1</v>
      </c>
      <c r="E59">
        <v>2</v>
      </c>
      <c r="H59">
        <v>1</v>
      </c>
      <c r="I59">
        <v>10</v>
      </c>
      <c r="L59">
        <v>1</v>
      </c>
      <c r="M59">
        <v>15</v>
      </c>
      <c r="P59" t="s">
        <v>3460</v>
      </c>
      <c r="Q59">
        <v>9</v>
      </c>
      <c r="R59" s="4" t="s">
        <v>3647</v>
      </c>
      <c r="S59" t="str">
        <f t="shared" si="0"/>
        <v>9 empresas | 1000-5000 emp</v>
      </c>
    </row>
    <row r="60" spans="1:29">
      <c r="A60" t="s">
        <v>3460</v>
      </c>
      <c r="B60">
        <v>2</v>
      </c>
      <c r="E60">
        <v>2</v>
      </c>
      <c r="H60">
        <v>2</v>
      </c>
      <c r="I60">
        <v>3</v>
      </c>
      <c r="M60">
        <v>9</v>
      </c>
      <c r="R60" s="7"/>
      <c r="S60" t="str">
        <f t="shared" si="0"/>
        <v xml:space="preserve"> empresas |  emp</v>
      </c>
    </row>
    <row r="61" spans="1:29">
      <c r="A61" t="s">
        <v>3644</v>
      </c>
      <c r="B61">
        <v>52</v>
      </c>
      <c r="C61">
        <v>6</v>
      </c>
      <c r="D61">
        <v>1</v>
      </c>
      <c r="E61">
        <v>91</v>
      </c>
      <c r="F61">
        <v>6</v>
      </c>
      <c r="G61">
        <v>5</v>
      </c>
      <c r="H61">
        <v>52</v>
      </c>
      <c r="I61">
        <v>50</v>
      </c>
      <c r="J61">
        <v>1</v>
      </c>
      <c r="K61">
        <v>1</v>
      </c>
      <c r="L61">
        <v>17</v>
      </c>
      <c r="M61">
        <v>282</v>
      </c>
    </row>
    <row r="85" spans="8:9">
      <c r="H85" s="24" t="s">
        <v>3426</v>
      </c>
      <c r="I85" s="24" t="s">
        <v>3658</v>
      </c>
    </row>
    <row r="86" spans="8:9">
      <c r="H86" s="25" t="s">
        <v>3474</v>
      </c>
      <c r="I86" s="27" t="s">
        <v>3659</v>
      </c>
    </row>
    <row r="87" spans="8:9">
      <c r="H87" s="26" t="s">
        <v>3450</v>
      </c>
      <c r="I87" s="28" t="s">
        <v>3660</v>
      </c>
    </row>
    <row r="88" spans="8:9">
      <c r="H88" s="25" t="s">
        <v>3470</v>
      </c>
      <c r="I88" s="27" t="s">
        <v>3661</v>
      </c>
    </row>
    <row r="89" spans="8:9">
      <c r="H89" s="26" t="s">
        <v>3460</v>
      </c>
      <c r="I89" s="28" t="s">
        <v>3662</v>
      </c>
    </row>
    <row r="90" spans="8:9">
      <c r="H90" s="29" t="s">
        <v>3454</v>
      </c>
      <c r="I90" s="30" t="s">
        <v>3663</v>
      </c>
    </row>
    <row r="91" spans="8:9">
      <c r="H91" s="31" t="s">
        <v>3524</v>
      </c>
      <c r="I91" s="32" t="s">
        <v>3664</v>
      </c>
    </row>
    <row r="92" spans="8:9">
      <c r="H92" s="29" t="s">
        <v>3453</v>
      </c>
      <c r="I92" s="30" t="s">
        <v>3665</v>
      </c>
    </row>
    <row r="93" spans="8:9">
      <c r="H93" s="25" t="s">
        <v>3514</v>
      </c>
      <c r="I93" s="27" t="s">
        <v>3659</v>
      </c>
    </row>
    <row r="94" spans="8:9">
      <c r="H94" s="26" t="s">
        <v>3460</v>
      </c>
      <c r="I94" s="28" t="s">
        <v>3662</v>
      </c>
    </row>
    <row r="95" spans="8:9">
      <c r="H95" s="26" t="s">
        <v>3481</v>
      </c>
      <c r="I95" s="28" t="s">
        <v>3666</v>
      </c>
    </row>
    <row r="96" spans="8:9">
      <c r="H96" s="26" t="s">
        <v>3456</v>
      </c>
      <c r="I96" s="28" t="s">
        <v>3667</v>
      </c>
    </row>
    <row r="97" spans="2:28">
      <c r="H97" s="25" t="s">
        <v>3488</v>
      </c>
      <c r="I97" s="27" t="s">
        <v>3668</v>
      </c>
    </row>
    <row r="98" spans="2:28">
      <c r="H98" s="25" t="s">
        <v>3439</v>
      </c>
      <c r="I98" s="27" t="s">
        <v>3669</v>
      </c>
    </row>
    <row r="99" spans="2:28">
      <c r="H99" s="26" t="s">
        <v>3447</v>
      </c>
      <c r="I99" s="28" t="s">
        <v>3670</v>
      </c>
    </row>
    <row r="100" spans="2:28">
      <c r="H100" s="26" t="s">
        <v>3457</v>
      </c>
      <c r="I100" s="28" t="s">
        <v>3671</v>
      </c>
    </row>
    <row r="102" spans="2:28">
      <c r="N102" s="1" t="s">
        <v>3426</v>
      </c>
    </row>
    <row r="103" spans="2:28">
      <c r="B103" s="25" t="s">
        <v>3474</v>
      </c>
      <c r="C103">
        <v>2500</v>
      </c>
      <c r="M103" s="1" t="s">
        <v>3658</v>
      </c>
      <c r="N103" t="s">
        <v>3488</v>
      </c>
      <c r="O103" t="s">
        <v>3481</v>
      </c>
      <c r="P103" t="s">
        <v>3474</v>
      </c>
      <c r="Q103" t="s">
        <v>3450</v>
      </c>
      <c r="R103" t="s">
        <v>3470</v>
      </c>
      <c r="S103" t="s">
        <v>3456</v>
      </c>
      <c r="T103" t="s">
        <v>3439</v>
      </c>
      <c r="U103" t="s">
        <v>3447</v>
      </c>
      <c r="V103" t="s">
        <v>3454</v>
      </c>
      <c r="W103" t="s">
        <v>3524</v>
      </c>
      <c r="X103" t="s">
        <v>3453</v>
      </c>
      <c r="Y103" t="s">
        <v>3457</v>
      </c>
      <c r="Z103" t="s">
        <v>3514</v>
      </c>
      <c r="AA103" t="s">
        <v>3460</v>
      </c>
      <c r="AB103" t="s">
        <v>3644</v>
      </c>
    </row>
    <row r="104" spans="2:28">
      <c r="B104" s="26" t="s">
        <v>3450</v>
      </c>
      <c r="C104">
        <v>2500</v>
      </c>
      <c r="M104" t="s">
        <v>3660</v>
      </c>
    </row>
    <row r="105" spans="2:28">
      <c r="B105" s="25" t="s">
        <v>3470</v>
      </c>
      <c r="C105">
        <v>2500</v>
      </c>
      <c r="M105" t="s">
        <v>3667</v>
      </c>
    </row>
    <row r="106" spans="2:28">
      <c r="B106" s="26" t="s">
        <v>3460</v>
      </c>
      <c r="C106">
        <v>2500</v>
      </c>
      <c r="M106" t="s">
        <v>3659</v>
      </c>
    </row>
    <row r="107" spans="2:28">
      <c r="B107" s="29" t="s">
        <v>3454</v>
      </c>
      <c r="C107">
        <v>2500</v>
      </c>
      <c r="M107" t="s">
        <v>3663</v>
      </c>
    </row>
    <row r="108" spans="2:28">
      <c r="B108" s="31" t="s">
        <v>3524</v>
      </c>
      <c r="C108">
        <v>2500</v>
      </c>
      <c r="M108" t="s">
        <v>3665</v>
      </c>
    </row>
    <row r="109" spans="2:28">
      <c r="B109" s="29" t="s">
        <v>3453</v>
      </c>
      <c r="C109">
        <v>2500</v>
      </c>
      <c r="M109" t="s">
        <v>3669</v>
      </c>
    </row>
    <row r="110" spans="2:28">
      <c r="B110" s="25" t="s">
        <v>3514</v>
      </c>
      <c r="C110">
        <v>2500</v>
      </c>
      <c r="M110" t="s">
        <v>3671</v>
      </c>
    </row>
    <row r="111" spans="2:28">
      <c r="B111" s="26" t="s">
        <v>3460</v>
      </c>
      <c r="C111">
        <v>2500</v>
      </c>
      <c r="M111" t="s">
        <v>3668</v>
      </c>
    </row>
    <row r="112" spans="2:28">
      <c r="B112" s="26" t="s">
        <v>3481</v>
      </c>
      <c r="C112">
        <v>750</v>
      </c>
      <c r="M112" t="s">
        <v>3661</v>
      </c>
    </row>
    <row r="113" spans="2:13">
      <c r="B113" s="26" t="s">
        <v>3456</v>
      </c>
      <c r="C113">
        <v>750</v>
      </c>
      <c r="M113" t="s">
        <v>3670</v>
      </c>
    </row>
    <row r="114" spans="2:13">
      <c r="B114" s="25" t="s">
        <v>3488</v>
      </c>
      <c r="C114">
        <v>750</v>
      </c>
      <c r="M114" t="s">
        <v>3664</v>
      </c>
    </row>
    <row r="115" spans="2:13">
      <c r="B115" s="25" t="s">
        <v>3439</v>
      </c>
      <c r="C115">
        <v>350</v>
      </c>
      <c r="M115" t="s">
        <v>3662</v>
      </c>
    </row>
    <row r="116" spans="2:13">
      <c r="B116" s="26" t="s">
        <v>3447</v>
      </c>
      <c r="C116">
        <v>350</v>
      </c>
      <c r="M116" t="s">
        <v>3666</v>
      </c>
    </row>
    <row r="117" spans="2:13">
      <c r="B117" s="26" t="s">
        <v>3457</v>
      </c>
      <c r="C117">
        <v>350</v>
      </c>
      <c r="M117" t="s">
        <v>3644</v>
      </c>
    </row>
    <row r="133" spans="2:3">
      <c r="B133" s="25" t="s">
        <v>3474</v>
      </c>
      <c r="C133">
        <v>2500</v>
      </c>
    </row>
    <row r="134" spans="2:3">
      <c r="B134" s="26" t="s">
        <v>3450</v>
      </c>
      <c r="C134">
        <v>2500</v>
      </c>
    </row>
    <row r="135" spans="2:3">
      <c r="B135" s="25" t="s">
        <v>3470</v>
      </c>
      <c r="C135">
        <v>2500</v>
      </c>
    </row>
    <row r="136" spans="2:3">
      <c r="B136" s="29" t="s">
        <v>3672</v>
      </c>
      <c r="C136">
        <v>2500</v>
      </c>
    </row>
    <row r="137" spans="2:3">
      <c r="B137" s="31" t="s">
        <v>3524</v>
      </c>
      <c r="C137">
        <v>2500</v>
      </c>
    </row>
    <row r="138" spans="2:3">
      <c r="B138" s="29" t="s">
        <v>3453</v>
      </c>
      <c r="C138">
        <v>2500</v>
      </c>
    </row>
    <row r="139" spans="2:3">
      <c r="B139" s="25" t="s">
        <v>3514</v>
      </c>
      <c r="C139">
        <v>2500</v>
      </c>
    </row>
    <row r="140" spans="2:3">
      <c r="B140" s="26" t="s">
        <v>3673</v>
      </c>
      <c r="C140">
        <v>2500</v>
      </c>
    </row>
    <row r="141" spans="2:3">
      <c r="B141" s="26" t="s">
        <v>3481</v>
      </c>
      <c r="C141">
        <v>750</v>
      </c>
    </row>
    <row r="142" spans="2:3">
      <c r="B142" s="26" t="s">
        <v>3456</v>
      </c>
      <c r="C142">
        <v>750</v>
      </c>
    </row>
    <row r="143" spans="2:3">
      <c r="B143" s="25" t="s">
        <v>3488</v>
      </c>
      <c r="C143">
        <v>750</v>
      </c>
    </row>
    <row r="144" spans="2:3">
      <c r="B144" s="25" t="s">
        <v>3439</v>
      </c>
      <c r="C144">
        <v>350</v>
      </c>
    </row>
    <row r="145" spans="2:3">
      <c r="B145" s="26" t="s">
        <v>3447</v>
      </c>
      <c r="C145">
        <v>350</v>
      </c>
    </row>
    <row r="146" spans="2:3">
      <c r="B146" s="26" t="s">
        <v>3674</v>
      </c>
      <c r="C146">
        <v>350</v>
      </c>
    </row>
  </sheetData>
  <autoFilter ref="H85:I100" xr:uid="{00000000-0009-0000-0000-000005000000}"/>
  <pageMargins left="0.7" right="0.7" top="0.75" bottom="0.75" header="0.3" footer="0.3"/>
  <drawing r:id="rId4"/>
  <tableParts count="2"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3:H61"/>
  <sheetViews>
    <sheetView topLeftCell="A46" workbookViewId="0">
      <selection activeCell="C3" sqref="C3"/>
    </sheetView>
  </sheetViews>
  <sheetFormatPr defaultRowHeight="15"/>
  <cols>
    <col min="3" max="3" width="30.28515625" customWidth="1"/>
    <col min="4" max="4" width="29.42578125" customWidth="1"/>
    <col min="8" max="8" width="22.85546875" customWidth="1"/>
  </cols>
  <sheetData>
    <row r="3" spans="3:4">
      <c r="C3" s="24" t="s">
        <v>3426</v>
      </c>
      <c r="D3" s="24" t="s">
        <v>3675</v>
      </c>
    </row>
    <row r="4" spans="3:4">
      <c r="C4" s="25" t="s">
        <v>3474</v>
      </c>
      <c r="D4" s="27" t="s">
        <v>3676</v>
      </c>
    </row>
    <row r="5" spans="3:4">
      <c r="C5" s="26" t="s">
        <v>3450</v>
      </c>
      <c r="D5" s="28" t="s">
        <v>3676</v>
      </c>
    </row>
    <row r="6" spans="3:4">
      <c r="C6" s="25" t="s">
        <v>3470</v>
      </c>
      <c r="D6" s="27" t="s">
        <v>3676</v>
      </c>
    </row>
    <row r="7" spans="3:4">
      <c r="C7" s="26" t="s">
        <v>3673</v>
      </c>
      <c r="D7" s="28" t="s">
        <v>3676</v>
      </c>
    </row>
    <row r="8" spans="3:4">
      <c r="C8" s="29" t="s">
        <v>3677</v>
      </c>
      <c r="D8" s="30" t="s">
        <v>3676</v>
      </c>
    </row>
    <row r="9" spans="3:4">
      <c r="C9" s="31" t="s">
        <v>3524</v>
      </c>
      <c r="D9" s="32" t="s">
        <v>3676</v>
      </c>
    </row>
    <row r="10" spans="3:4">
      <c r="C10" s="29" t="s">
        <v>3453</v>
      </c>
      <c r="D10" s="30" t="s">
        <v>3676</v>
      </c>
    </row>
    <row r="11" spans="3:4">
      <c r="C11" s="25" t="s">
        <v>3514</v>
      </c>
      <c r="D11" s="27" t="s">
        <v>3676</v>
      </c>
    </row>
    <row r="12" spans="3:4">
      <c r="C12" s="26" t="s">
        <v>3481</v>
      </c>
      <c r="D12" s="28" t="s">
        <v>3678</v>
      </c>
    </row>
    <row r="13" spans="3:4">
      <c r="C13" s="26" t="s">
        <v>3456</v>
      </c>
      <c r="D13" s="28" t="s">
        <v>3678</v>
      </c>
    </row>
    <row r="14" spans="3:4">
      <c r="C14" s="25" t="s">
        <v>3488</v>
      </c>
      <c r="D14" s="27" t="s">
        <v>3678</v>
      </c>
    </row>
    <row r="15" spans="3:4">
      <c r="C15" s="25" t="s">
        <v>3439</v>
      </c>
      <c r="D15" s="27" t="s">
        <v>3679</v>
      </c>
    </row>
    <row r="16" spans="3:4">
      <c r="C16" s="26" t="s">
        <v>3447</v>
      </c>
      <c r="D16" s="28" t="s">
        <v>3679</v>
      </c>
    </row>
    <row r="17" spans="3:4">
      <c r="C17" s="26" t="s">
        <v>3674</v>
      </c>
      <c r="D17" s="28" t="s">
        <v>3679</v>
      </c>
    </row>
    <row r="48" spans="8:8">
      <c r="H48" s="25" t="s">
        <v>3474</v>
      </c>
    </row>
    <row r="49" spans="8:8">
      <c r="H49" s="26" t="s">
        <v>3450</v>
      </c>
    </row>
    <row r="50" spans="8:8">
      <c r="H50" s="25" t="s">
        <v>3470</v>
      </c>
    </row>
    <row r="51" spans="8:8">
      <c r="H51" s="26" t="s">
        <v>3673</v>
      </c>
    </row>
    <row r="52" spans="8:8">
      <c r="H52" s="29" t="s">
        <v>3677</v>
      </c>
    </row>
    <row r="53" spans="8:8">
      <c r="H53" s="31" t="s">
        <v>3524</v>
      </c>
    </row>
    <row r="54" spans="8:8">
      <c r="H54" s="29" t="s">
        <v>3453</v>
      </c>
    </row>
    <row r="55" spans="8:8">
      <c r="H55" s="25" t="s">
        <v>3514</v>
      </c>
    </row>
    <row r="56" spans="8:8">
      <c r="H56" s="26" t="s">
        <v>3481</v>
      </c>
    </row>
    <row r="57" spans="8:8">
      <c r="H57" s="26" t="s">
        <v>3456</v>
      </c>
    </row>
    <row r="58" spans="8:8">
      <c r="H58" s="25" t="s">
        <v>3488</v>
      </c>
    </row>
    <row r="59" spans="8:8">
      <c r="H59" s="25" t="s">
        <v>3439</v>
      </c>
    </row>
    <row r="60" spans="8:8">
      <c r="H60" s="26" t="s">
        <v>3447</v>
      </c>
    </row>
    <row r="61" spans="8:8">
      <c r="H61" s="26" t="s">
        <v>3674</v>
      </c>
    </row>
  </sheetData>
  <autoFilter ref="C3:D3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U35"/>
  <sheetViews>
    <sheetView workbookViewId="0">
      <selection activeCell="T5" sqref="T5"/>
    </sheetView>
  </sheetViews>
  <sheetFormatPr defaultRowHeight="15"/>
  <cols>
    <col min="1" max="1" width="20.140625" bestFit="1" customWidth="1"/>
    <col min="2" max="2" width="13.140625" bestFit="1" customWidth="1"/>
    <col min="3" max="3" width="9.28515625" bestFit="1" customWidth="1"/>
    <col min="4" max="4" width="7.42578125" bestFit="1" customWidth="1"/>
    <col min="5" max="5" width="8.140625" bestFit="1" customWidth="1"/>
    <col min="6" max="6" width="11.42578125" bestFit="1" customWidth="1"/>
    <col min="7" max="7" width="8.85546875" bestFit="1" customWidth="1"/>
    <col min="8" max="8" width="10.42578125" bestFit="1" customWidth="1"/>
    <col min="9" max="9" width="8.140625" bestFit="1" customWidth="1"/>
    <col min="10" max="11" width="12.5703125" bestFit="1" customWidth="1"/>
    <col min="12" max="12" width="11.42578125" bestFit="1" customWidth="1"/>
    <col min="13" max="13" width="7" bestFit="1" customWidth="1"/>
    <col min="14" max="14" width="8.85546875" bestFit="1" customWidth="1"/>
    <col min="15" max="15" width="10.42578125" bestFit="1" customWidth="1"/>
    <col min="16" max="16" width="8.140625" bestFit="1" customWidth="1"/>
    <col min="17" max="17" width="12.5703125" bestFit="1" customWidth="1"/>
    <col min="18" max="18" width="10.7109375" bestFit="1" customWidth="1"/>
    <col min="19" max="19" width="20.7109375" bestFit="1" customWidth="1"/>
    <col min="20" max="20" width="18.7109375" bestFit="1" customWidth="1"/>
  </cols>
  <sheetData>
    <row r="3" spans="1:21">
      <c r="A3" s="1" t="s">
        <v>3642</v>
      </c>
      <c r="B3" s="1" t="s">
        <v>3428</v>
      </c>
      <c r="S3" s="9" t="s">
        <v>3614</v>
      </c>
      <c r="T3" s="9" t="s">
        <v>3680</v>
      </c>
      <c r="U3" s="9" t="s">
        <v>3681</v>
      </c>
    </row>
    <row r="4" spans="1:21">
      <c r="A4" s="1" t="s">
        <v>3426</v>
      </c>
      <c r="B4" t="s">
        <v>3458</v>
      </c>
      <c r="C4" t="s">
        <v>3464</v>
      </c>
      <c r="D4" t="s">
        <v>3462</v>
      </c>
      <c r="E4" t="s">
        <v>3468</v>
      </c>
      <c r="F4" t="s">
        <v>3451</v>
      </c>
      <c r="G4" t="s">
        <v>3486</v>
      </c>
      <c r="H4" t="s">
        <v>3448</v>
      </c>
      <c r="I4" t="s">
        <v>3478</v>
      </c>
      <c r="J4" t="s">
        <v>3644</v>
      </c>
      <c r="S4" t="s">
        <v>3488</v>
      </c>
      <c r="T4" t="s">
        <v>3682</v>
      </c>
      <c r="U4">
        <v>1</v>
      </c>
    </row>
    <row r="5" spans="1:21">
      <c r="A5" t="s">
        <v>3488</v>
      </c>
      <c r="B5">
        <v>1</v>
      </c>
      <c r="D5">
        <v>1</v>
      </c>
      <c r="F5">
        <v>1</v>
      </c>
      <c r="J5">
        <v>3</v>
      </c>
      <c r="S5" t="s">
        <v>3683</v>
      </c>
      <c r="T5" t="s">
        <v>3684</v>
      </c>
      <c r="U5">
        <v>2</v>
      </c>
    </row>
    <row r="6" spans="1:21">
      <c r="A6" t="s">
        <v>3481</v>
      </c>
      <c r="C6">
        <v>2</v>
      </c>
      <c r="D6">
        <v>1</v>
      </c>
      <c r="E6">
        <v>1</v>
      </c>
      <c r="H6">
        <v>2</v>
      </c>
      <c r="J6">
        <v>6</v>
      </c>
      <c r="S6" t="s">
        <v>3450</v>
      </c>
      <c r="T6" t="s">
        <v>3684</v>
      </c>
      <c r="U6">
        <v>2</v>
      </c>
    </row>
    <row r="7" spans="1:21">
      <c r="A7" t="s">
        <v>3474</v>
      </c>
      <c r="D7">
        <v>1</v>
      </c>
      <c r="E7">
        <v>2</v>
      </c>
      <c r="F7">
        <v>3</v>
      </c>
      <c r="H7">
        <v>5</v>
      </c>
      <c r="J7">
        <v>11</v>
      </c>
      <c r="S7" t="s">
        <v>3439</v>
      </c>
      <c r="T7" t="s">
        <v>3684</v>
      </c>
      <c r="U7">
        <v>2</v>
      </c>
    </row>
    <row r="8" spans="1:21">
      <c r="A8" t="s">
        <v>3450</v>
      </c>
      <c r="E8">
        <v>1</v>
      </c>
      <c r="H8">
        <v>1</v>
      </c>
      <c r="J8">
        <v>2</v>
      </c>
      <c r="S8" t="s">
        <v>3524</v>
      </c>
      <c r="T8" t="s">
        <v>3684</v>
      </c>
      <c r="U8">
        <v>2</v>
      </c>
    </row>
    <row r="9" spans="1:21">
      <c r="A9" t="s">
        <v>3470</v>
      </c>
      <c r="B9">
        <v>1</v>
      </c>
      <c r="D9">
        <v>1</v>
      </c>
      <c r="J9">
        <v>2</v>
      </c>
      <c r="S9" t="s">
        <v>3685</v>
      </c>
      <c r="T9" t="s">
        <v>3684</v>
      </c>
      <c r="U9">
        <v>2</v>
      </c>
    </row>
    <row r="10" spans="1:21">
      <c r="A10" t="s">
        <v>3456</v>
      </c>
      <c r="B10">
        <v>1</v>
      </c>
      <c r="G10">
        <v>1</v>
      </c>
      <c r="H10">
        <v>5</v>
      </c>
      <c r="J10">
        <v>7</v>
      </c>
      <c r="S10" t="s">
        <v>3686</v>
      </c>
      <c r="T10" t="s">
        <v>3684</v>
      </c>
      <c r="U10">
        <v>2</v>
      </c>
    </row>
    <row r="11" spans="1:21">
      <c r="A11" t="s">
        <v>3439</v>
      </c>
      <c r="E11">
        <v>3</v>
      </c>
      <c r="F11">
        <v>2</v>
      </c>
      <c r="G11">
        <v>1</v>
      </c>
      <c r="H11">
        <v>1</v>
      </c>
      <c r="J11">
        <v>7</v>
      </c>
      <c r="S11" t="s">
        <v>3456</v>
      </c>
      <c r="T11" t="s">
        <v>3687</v>
      </c>
      <c r="U11">
        <v>3</v>
      </c>
    </row>
    <row r="12" spans="1:21">
      <c r="A12" t="s">
        <v>3447</v>
      </c>
      <c r="B12">
        <v>9</v>
      </c>
      <c r="C12">
        <v>3</v>
      </c>
      <c r="D12">
        <v>2</v>
      </c>
      <c r="E12">
        <v>3</v>
      </c>
      <c r="F12">
        <v>2</v>
      </c>
      <c r="G12">
        <v>1</v>
      </c>
      <c r="H12">
        <v>16</v>
      </c>
      <c r="I12">
        <v>2</v>
      </c>
      <c r="J12">
        <v>38</v>
      </c>
      <c r="S12" t="s">
        <v>3453</v>
      </c>
      <c r="T12" t="s">
        <v>3688</v>
      </c>
      <c r="U12">
        <v>4</v>
      </c>
    </row>
    <row r="13" spans="1:21">
      <c r="A13" t="s">
        <v>3454</v>
      </c>
      <c r="B13">
        <v>4</v>
      </c>
      <c r="C13">
        <v>1</v>
      </c>
      <c r="D13">
        <v>4</v>
      </c>
      <c r="E13">
        <v>1</v>
      </c>
      <c r="F13">
        <v>3</v>
      </c>
      <c r="H13">
        <v>7</v>
      </c>
      <c r="I13">
        <v>2</v>
      </c>
      <c r="J13">
        <v>22</v>
      </c>
      <c r="S13" t="s">
        <v>3481</v>
      </c>
      <c r="T13" t="s">
        <v>3688</v>
      </c>
      <c r="U13">
        <v>4</v>
      </c>
    </row>
    <row r="14" spans="1:21">
      <c r="A14" t="s">
        <v>3524</v>
      </c>
      <c r="E14">
        <v>1</v>
      </c>
      <c r="F14">
        <v>1</v>
      </c>
      <c r="H14">
        <v>2</v>
      </c>
      <c r="J14">
        <v>4</v>
      </c>
      <c r="S14" t="s">
        <v>3689</v>
      </c>
      <c r="T14" t="s">
        <v>3690</v>
      </c>
      <c r="U14">
        <v>5</v>
      </c>
    </row>
    <row r="15" spans="1:21">
      <c r="A15" t="s">
        <v>3453</v>
      </c>
      <c r="B15">
        <v>6</v>
      </c>
      <c r="C15">
        <v>1</v>
      </c>
      <c r="E15">
        <v>3</v>
      </c>
      <c r="F15">
        <v>4</v>
      </c>
      <c r="H15">
        <v>3</v>
      </c>
      <c r="J15">
        <v>17</v>
      </c>
      <c r="S15" t="s">
        <v>3447</v>
      </c>
      <c r="T15" t="s">
        <v>3690</v>
      </c>
      <c r="U15">
        <v>5</v>
      </c>
    </row>
    <row r="16" spans="1:21">
      <c r="A16" t="s">
        <v>3457</v>
      </c>
      <c r="B16">
        <v>3</v>
      </c>
      <c r="C16">
        <v>4</v>
      </c>
      <c r="D16">
        <v>1</v>
      </c>
      <c r="E16">
        <v>7</v>
      </c>
      <c r="F16">
        <v>3</v>
      </c>
      <c r="H16">
        <v>10</v>
      </c>
      <c r="J16">
        <v>28</v>
      </c>
      <c r="S16" t="s">
        <v>3691</v>
      </c>
      <c r="T16" t="s">
        <v>3692</v>
      </c>
      <c r="U16">
        <v>6</v>
      </c>
    </row>
    <row r="17" spans="1:21">
      <c r="A17" t="s">
        <v>3514</v>
      </c>
      <c r="C17">
        <v>3</v>
      </c>
      <c r="D17">
        <v>1</v>
      </c>
      <c r="E17">
        <v>4</v>
      </c>
      <c r="H17">
        <v>2</v>
      </c>
      <c r="J17">
        <v>10</v>
      </c>
      <c r="S17" t="s">
        <v>3693</v>
      </c>
      <c r="T17" t="s">
        <v>3694</v>
      </c>
      <c r="U17">
        <v>7</v>
      </c>
    </row>
    <row r="18" spans="1:21">
      <c r="A18" t="s">
        <v>3460</v>
      </c>
      <c r="B18">
        <v>1</v>
      </c>
      <c r="C18">
        <v>3</v>
      </c>
      <c r="E18">
        <v>1</v>
      </c>
      <c r="H18">
        <v>3</v>
      </c>
      <c r="J18">
        <v>8</v>
      </c>
    </row>
    <row r="19" spans="1:21">
      <c r="A19" t="s">
        <v>3644</v>
      </c>
      <c r="B19">
        <v>26</v>
      </c>
      <c r="C19">
        <v>17</v>
      </c>
      <c r="D19">
        <v>12</v>
      </c>
      <c r="E19">
        <v>27</v>
      </c>
      <c r="F19">
        <v>19</v>
      </c>
      <c r="G19">
        <v>3</v>
      </c>
      <c r="H19">
        <v>57</v>
      </c>
      <c r="I19">
        <v>4</v>
      </c>
      <c r="J19">
        <v>165</v>
      </c>
    </row>
    <row r="25" spans="1:21">
      <c r="L25" t="s">
        <v>3695</v>
      </c>
    </row>
    <row r="26" spans="1:21">
      <c r="L26" t="s">
        <v>3696</v>
      </c>
    </row>
    <row r="27" spans="1:21">
      <c r="L27" t="s">
        <v>3697</v>
      </c>
    </row>
    <row r="35" spans="10:10" ht="17.25" customHeight="1">
      <c r="J35" s="23" t="s">
        <v>3698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P97"/>
  <sheetViews>
    <sheetView topLeftCell="A11" workbookViewId="0">
      <selection activeCell="K28" sqref="K28"/>
    </sheetView>
  </sheetViews>
  <sheetFormatPr defaultRowHeight="15"/>
  <cols>
    <col min="1" max="1" width="17.42578125" customWidth="1"/>
    <col min="2" max="2" width="20.85546875" bestFit="1" customWidth="1"/>
    <col min="3" max="3" width="9" customWidth="1"/>
    <col min="4" max="5" width="13.7109375" bestFit="1" customWidth="1"/>
    <col min="6" max="6" width="18" bestFit="1" customWidth="1"/>
    <col min="7" max="7" width="14.5703125" bestFit="1" customWidth="1"/>
    <col min="8" max="8" width="12.5703125" bestFit="1" customWidth="1"/>
    <col min="9" max="9" width="8.28515625" customWidth="1"/>
    <col min="10" max="10" width="9" bestFit="1" customWidth="1"/>
    <col min="11" max="11" width="9.42578125" bestFit="1" customWidth="1"/>
    <col min="12" max="12" width="12.28515625" bestFit="1" customWidth="1"/>
  </cols>
  <sheetData>
    <row r="3" spans="1:16">
      <c r="A3" s="1" t="s">
        <v>3431</v>
      </c>
      <c r="B3" t="s">
        <v>3699</v>
      </c>
    </row>
    <row r="5" spans="1:16">
      <c r="A5" s="1" t="s">
        <v>3433</v>
      </c>
      <c r="B5" t="s">
        <v>3700</v>
      </c>
    </row>
    <row r="6" spans="1:16">
      <c r="A6" t="s">
        <v>3510</v>
      </c>
      <c r="B6">
        <v>5</v>
      </c>
    </row>
    <row r="7" spans="1:16">
      <c r="A7" t="s">
        <v>3471</v>
      </c>
      <c r="B7">
        <v>19</v>
      </c>
    </row>
    <row r="8" spans="1:16">
      <c r="A8" t="s">
        <v>3445</v>
      </c>
      <c r="B8">
        <v>229</v>
      </c>
      <c r="O8" t="s">
        <v>3701</v>
      </c>
      <c r="P8" t="s">
        <v>3702</v>
      </c>
    </row>
    <row r="9" spans="1:16">
      <c r="A9" t="s">
        <v>3461</v>
      </c>
      <c r="B9">
        <v>30</v>
      </c>
      <c r="O9" t="s">
        <v>3703</v>
      </c>
    </row>
    <row r="10" spans="1:16">
      <c r="A10" t="s">
        <v>3521</v>
      </c>
      <c r="B10">
        <v>1</v>
      </c>
      <c r="O10" t="s">
        <v>3704</v>
      </c>
      <c r="P10" t="s">
        <v>3702</v>
      </c>
    </row>
    <row r="11" spans="1:16">
      <c r="A11" t="s">
        <v>3644</v>
      </c>
      <c r="B11">
        <v>284</v>
      </c>
      <c r="O11" t="s">
        <v>3705</v>
      </c>
      <c r="P11" t="s">
        <v>3702</v>
      </c>
    </row>
    <row r="12" spans="1:16">
      <c r="O12" t="s">
        <v>3706</v>
      </c>
      <c r="P12" t="s">
        <v>3707</v>
      </c>
    </row>
    <row r="13" spans="1:16">
      <c r="O13" t="s">
        <v>3708</v>
      </c>
      <c r="P13" t="s">
        <v>3702</v>
      </c>
    </row>
    <row r="14" spans="1:16">
      <c r="O14" t="s">
        <v>3709</v>
      </c>
      <c r="P14" t="s">
        <v>3710</v>
      </c>
    </row>
    <row r="15" spans="1:16">
      <c r="O15" t="s">
        <v>3711</v>
      </c>
      <c r="P15" t="s">
        <v>3710</v>
      </c>
    </row>
    <row r="17" spans="1:15">
      <c r="O17" t="s">
        <v>3712</v>
      </c>
    </row>
    <row r="22" spans="1:15">
      <c r="A22" s="1" t="s">
        <v>3642</v>
      </c>
      <c r="B22" s="1" t="s">
        <v>3433</v>
      </c>
    </row>
    <row r="23" spans="1:15">
      <c r="A23" s="1" t="s">
        <v>3431</v>
      </c>
      <c r="B23" t="s">
        <v>3521</v>
      </c>
      <c r="C23" t="s">
        <v>3510</v>
      </c>
      <c r="D23" t="s">
        <v>3471</v>
      </c>
      <c r="E23" t="s">
        <v>3445</v>
      </c>
      <c r="F23" t="s">
        <v>3461</v>
      </c>
      <c r="G23" t="s">
        <v>3713</v>
      </c>
    </row>
    <row r="24" spans="1:15" ht="15.75" customHeight="1">
      <c r="A24" s="10" t="s">
        <v>3490</v>
      </c>
      <c r="B24">
        <v>1</v>
      </c>
      <c r="C24">
        <v>1</v>
      </c>
      <c r="E24">
        <v>16</v>
      </c>
      <c r="F24">
        <v>2</v>
      </c>
      <c r="G24">
        <v>20</v>
      </c>
    </row>
    <row r="25" spans="1:15" ht="15.75" customHeight="1">
      <c r="A25" s="10" t="s">
        <v>3476</v>
      </c>
      <c r="C25">
        <v>1</v>
      </c>
      <c r="D25">
        <v>10</v>
      </c>
      <c r="E25">
        <v>45</v>
      </c>
      <c r="F25">
        <v>9</v>
      </c>
      <c r="G25">
        <v>65</v>
      </c>
    </row>
    <row r="26" spans="1:15" ht="15.75" customHeight="1">
      <c r="A26" s="10" t="s">
        <v>3491</v>
      </c>
      <c r="D26">
        <v>1</v>
      </c>
      <c r="G26">
        <v>1</v>
      </c>
    </row>
    <row r="27" spans="1:15" ht="15.75" customHeight="1">
      <c r="A27" s="10" t="s">
        <v>3443</v>
      </c>
      <c r="D27">
        <v>1</v>
      </c>
      <c r="E27">
        <v>50</v>
      </c>
      <c r="F27">
        <v>4</v>
      </c>
      <c r="G27">
        <v>55</v>
      </c>
    </row>
    <row r="28" spans="1:15" ht="15.75" customHeight="1">
      <c r="A28" s="10" t="s">
        <v>3479</v>
      </c>
      <c r="C28">
        <v>1</v>
      </c>
      <c r="D28">
        <v>2</v>
      </c>
      <c r="E28">
        <v>11</v>
      </c>
      <c r="F28">
        <v>5</v>
      </c>
      <c r="G28">
        <v>19</v>
      </c>
    </row>
    <row r="29" spans="1:15" ht="15.75" customHeight="1">
      <c r="A29" s="10" t="s">
        <v>3506</v>
      </c>
      <c r="E29">
        <v>3</v>
      </c>
      <c r="F29">
        <v>1</v>
      </c>
      <c r="G29">
        <v>4</v>
      </c>
    </row>
    <row r="30" spans="1:15" ht="15.75" customHeight="1">
      <c r="A30" s="10" t="s">
        <v>3500</v>
      </c>
      <c r="D30">
        <v>3</v>
      </c>
      <c r="E30">
        <v>11</v>
      </c>
      <c r="G30">
        <v>14</v>
      </c>
    </row>
    <row r="31" spans="1:15" ht="15.75" customHeight="1">
      <c r="A31" s="10" t="s">
        <v>3498</v>
      </c>
      <c r="C31">
        <v>2</v>
      </c>
      <c r="D31">
        <v>2</v>
      </c>
      <c r="E31">
        <v>62</v>
      </c>
      <c r="F31">
        <v>7</v>
      </c>
      <c r="G31">
        <v>73</v>
      </c>
    </row>
    <row r="32" spans="1:15" ht="15.75" customHeight="1">
      <c r="A32" s="10" t="s">
        <v>3499</v>
      </c>
      <c r="E32">
        <v>21</v>
      </c>
      <c r="F32">
        <v>2</v>
      </c>
      <c r="G32">
        <v>23</v>
      </c>
    </row>
    <row r="33" spans="1:7">
      <c r="A33" t="s">
        <v>3551</v>
      </c>
      <c r="E33">
        <v>2</v>
      </c>
      <c r="G33">
        <v>2</v>
      </c>
    </row>
    <row r="34" spans="1:7">
      <c r="A34" t="s">
        <v>3552</v>
      </c>
      <c r="E34">
        <v>5</v>
      </c>
      <c r="G34">
        <v>5</v>
      </c>
    </row>
    <row r="35" spans="1:7">
      <c r="A35" t="s">
        <v>3561</v>
      </c>
      <c r="E35">
        <v>2</v>
      </c>
      <c r="G35">
        <v>2</v>
      </c>
    </row>
    <row r="36" spans="1:7">
      <c r="A36" t="s">
        <v>3554</v>
      </c>
      <c r="E36">
        <v>1</v>
      </c>
      <c r="G36">
        <v>1</v>
      </c>
    </row>
    <row r="37" spans="1:7">
      <c r="A37" t="s">
        <v>3713</v>
      </c>
      <c r="B37">
        <v>1</v>
      </c>
      <c r="C37">
        <v>5</v>
      </c>
      <c r="D37">
        <v>19</v>
      </c>
      <c r="E37">
        <v>229</v>
      </c>
      <c r="F37">
        <v>30</v>
      </c>
      <c r="G37">
        <v>284</v>
      </c>
    </row>
    <row r="93" spans="2:6" ht="25.5" customHeight="1">
      <c r="B93" s="37" t="s">
        <v>2</v>
      </c>
      <c r="C93" s="37" t="s">
        <v>3426</v>
      </c>
      <c r="D93" s="37" t="s">
        <v>3436</v>
      </c>
      <c r="E93" s="37" t="s">
        <v>3437</v>
      </c>
      <c r="F93" s="38" t="s">
        <v>3438</v>
      </c>
    </row>
    <row r="94" spans="2:6" ht="25.5" customHeight="1">
      <c r="B94" s="33" t="s">
        <v>3714</v>
      </c>
      <c r="C94" s="33" t="s">
        <v>3454</v>
      </c>
      <c r="D94" s="33"/>
      <c r="E94" s="33" t="s">
        <v>3518</v>
      </c>
      <c r="F94" s="34"/>
    </row>
    <row r="95" spans="2:6" ht="25.5" customHeight="1">
      <c r="B95" s="35" t="s">
        <v>3715</v>
      </c>
      <c r="C95" s="35" t="s">
        <v>3447</v>
      </c>
      <c r="D95" s="35" t="s">
        <v>3515</v>
      </c>
      <c r="E95" s="35" t="s">
        <v>3516</v>
      </c>
      <c r="F95" s="36">
        <v>11480</v>
      </c>
    </row>
    <row r="96" spans="2:6" ht="25.5" customHeight="1">
      <c r="B96" s="33" t="s">
        <v>3716</v>
      </c>
      <c r="C96" s="33" t="s">
        <v>3439</v>
      </c>
      <c r="D96" s="33" t="s">
        <v>3517</v>
      </c>
      <c r="E96" s="33" t="s">
        <v>3516</v>
      </c>
      <c r="F96" s="34">
        <v>11880</v>
      </c>
    </row>
    <row r="97" spans="2:6" ht="38.25" customHeight="1">
      <c r="B97" s="35" t="s">
        <v>3717</v>
      </c>
      <c r="C97" s="35" t="s">
        <v>3447</v>
      </c>
      <c r="D97" s="35" t="s">
        <v>3519</v>
      </c>
      <c r="E97" s="35" t="s">
        <v>3518</v>
      </c>
      <c r="F97" s="36">
        <v>45000</v>
      </c>
    </row>
  </sheetData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G33"/>
  <sheetViews>
    <sheetView topLeftCell="A20" workbookViewId="0">
      <selection activeCell="B25" sqref="B25:G33"/>
    </sheetView>
  </sheetViews>
  <sheetFormatPr defaultRowHeight="15"/>
  <cols>
    <col min="1" max="1" width="17.5703125" customWidth="1"/>
    <col min="2" max="2" width="19.7109375" customWidth="1"/>
    <col min="3" max="3" width="16" customWidth="1"/>
    <col min="4" max="4" width="23" customWidth="1"/>
    <col min="5" max="5" width="20.5703125" customWidth="1"/>
    <col min="6" max="6" width="21.140625" customWidth="1"/>
    <col min="7" max="7" width="21" customWidth="1"/>
  </cols>
  <sheetData>
    <row r="2" spans="1:7">
      <c r="A2" t="s">
        <v>3432</v>
      </c>
      <c r="B2" s="42" t="s">
        <v>3432</v>
      </c>
      <c r="C2" s="42" t="s">
        <v>2</v>
      </c>
      <c r="D2" s="42" t="s">
        <v>3426</v>
      </c>
      <c r="E2" s="42" t="s">
        <v>3436</v>
      </c>
      <c r="F2" s="42" t="s">
        <v>3437</v>
      </c>
      <c r="G2" s="42" t="s">
        <v>3438</v>
      </c>
    </row>
    <row r="3" spans="1:7">
      <c r="A3" t="s">
        <v>3718</v>
      </c>
      <c r="B3" s="42" t="s">
        <v>3719</v>
      </c>
      <c r="C3" s="22" t="s">
        <v>3720</v>
      </c>
      <c r="D3" s="42" t="s">
        <v>3447</v>
      </c>
      <c r="E3" t="s">
        <v>3721</v>
      </c>
      <c r="F3" s="42" t="s">
        <v>3516</v>
      </c>
      <c r="G3" s="54">
        <v>11480</v>
      </c>
    </row>
    <row r="4" spans="1:7" ht="27.75" customHeight="1">
      <c r="A4" t="s">
        <v>3719</v>
      </c>
      <c r="B4" s="42" t="s">
        <v>3719</v>
      </c>
      <c r="C4" s="22" t="s">
        <v>196</v>
      </c>
      <c r="D4" s="42" t="s">
        <v>3439</v>
      </c>
      <c r="E4" t="s">
        <v>3722</v>
      </c>
      <c r="F4" s="42" t="s">
        <v>3516</v>
      </c>
      <c r="G4" s="54">
        <v>11880</v>
      </c>
    </row>
    <row r="5" spans="1:7">
      <c r="A5" t="s">
        <v>3719</v>
      </c>
      <c r="B5" s="42" t="s">
        <v>3719</v>
      </c>
      <c r="C5" s="22" t="s">
        <v>55</v>
      </c>
      <c r="D5" s="42" t="s">
        <v>3524</v>
      </c>
      <c r="E5" t="s">
        <v>3723</v>
      </c>
      <c r="F5" s="42" t="s">
        <v>3518</v>
      </c>
      <c r="G5" s="54">
        <v>45000</v>
      </c>
    </row>
    <row r="6" spans="1:7">
      <c r="A6" t="s">
        <v>3719</v>
      </c>
      <c r="B6" s="42" t="s">
        <v>3719</v>
      </c>
      <c r="C6" s="22" t="s">
        <v>442</v>
      </c>
      <c r="D6" s="42" t="s">
        <v>3439</v>
      </c>
      <c r="E6" t="s">
        <v>3724</v>
      </c>
      <c r="F6" s="42" t="s">
        <v>3518</v>
      </c>
      <c r="G6" s="54">
        <v>16248</v>
      </c>
    </row>
    <row r="7" spans="1:7">
      <c r="A7" t="s">
        <v>3719</v>
      </c>
      <c r="B7" s="42" t="s">
        <v>3718</v>
      </c>
      <c r="C7" s="22" t="s">
        <v>2558</v>
      </c>
      <c r="D7" s="42" t="s">
        <v>3725</v>
      </c>
      <c r="E7" t="s">
        <v>3726</v>
      </c>
      <c r="F7" s="42" t="s">
        <v>3727</v>
      </c>
      <c r="G7" s="54">
        <v>8000</v>
      </c>
    </row>
    <row r="8" spans="1:7">
      <c r="B8" s="42"/>
      <c r="D8" s="42"/>
      <c r="F8" s="42"/>
      <c r="G8" s="53"/>
    </row>
    <row r="12" spans="1:7">
      <c r="A12" t="s">
        <v>3432</v>
      </c>
      <c r="B12" s="42" t="s">
        <v>2</v>
      </c>
      <c r="C12" s="42" t="s">
        <v>1744</v>
      </c>
      <c r="D12" s="42" t="s">
        <v>3436</v>
      </c>
      <c r="E12" s="42" t="s">
        <v>3728</v>
      </c>
      <c r="F12" s="42" t="s">
        <v>3438</v>
      </c>
    </row>
    <row r="13" spans="1:7">
      <c r="A13" t="s">
        <v>3718</v>
      </c>
      <c r="B13" t="s">
        <v>3729</v>
      </c>
      <c r="C13" s="42" t="s">
        <v>2124</v>
      </c>
      <c r="D13" t="s">
        <v>3730</v>
      </c>
      <c r="E13" s="42" t="s">
        <v>3731</v>
      </c>
      <c r="F13" s="53"/>
    </row>
    <row r="14" spans="1:7">
      <c r="A14" t="s">
        <v>3719</v>
      </c>
      <c r="B14" t="s">
        <v>3732</v>
      </c>
      <c r="C14" s="42" t="s">
        <v>3733</v>
      </c>
      <c r="D14" t="s">
        <v>3515</v>
      </c>
      <c r="E14" s="42" t="s">
        <v>3734</v>
      </c>
      <c r="F14" s="53">
        <v>11480</v>
      </c>
    </row>
    <row r="15" spans="1:7">
      <c r="A15" t="s">
        <v>3719</v>
      </c>
      <c r="B15" t="s">
        <v>3735</v>
      </c>
      <c r="C15" s="42" t="s">
        <v>3736</v>
      </c>
      <c r="D15" t="s">
        <v>3517</v>
      </c>
      <c r="E15" s="42" t="s">
        <v>3737</v>
      </c>
      <c r="F15" s="53">
        <v>11880</v>
      </c>
    </row>
    <row r="16" spans="1:7">
      <c r="A16" t="s">
        <v>3719</v>
      </c>
      <c r="B16" t="s">
        <v>3738</v>
      </c>
      <c r="C16" s="42" t="s">
        <v>1636</v>
      </c>
      <c r="D16" t="s">
        <v>3739</v>
      </c>
      <c r="E16" s="42" t="s">
        <v>3740</v>
      </c>
      <c r="F16" s="53">
        <v>45000</v>
      </c>
    </row>
    <row r="17" spans="1:7">
      <c r="A17" t="s">
        <v>3719</v>
      </c>
      <c r="B17" t="s">
        <v>3741</v>
      </c>
      <c r="C17" s="42" t="s">
        <v>3736</v>
      </c>
      <c r="D17" t="s">
        <v>3739</v>
      </c>
      <c r="E17" s="42" t="s">
        <v>3742</v>
      </c>
      <c r="F17" s="53">
        <v>16248</v>
      </c>
    </row>
    <row r="24" spans="1:7">
      <c r="B24" s="106" t="s">
        <v>3586</v>
      </c>
      <c r="C24" s="106" t="s">
        <v>196</v>
      </c>
      <c r="D24" s="106" t="s">
        <v>3435</v>
      </c>
      <c r="E24" s="106" t="s">
        <v>3743</v>
      </c>
      <c r="F24" s="106" t="s">
        <v>3588</v>
      </c>
      <c r="G24" s="106" t="s">
        <v>3589</v>
      </c>
    </row>
    <row r="25" spans="1:7">
      <c r="B25" s="107"/>
      <c r="C25" s="107"/>
      <c r="D25" s="107"/>
      <c r="E25" s="107"/>
      <c r="F25" s="107"/>
      <c r="G25" s="107"/>
    </row>
    <row r="26" spans="1:7">
      <c r="B26" s="107"/>
      <c r="C26" s="104"/>
      <c r="D26" s="107"/>
      <c r="E26" s="107"/>
      <c r="F26" s="108"/>
      <c r="G26" s="107"/>
    </row>
    <row r="27" spans="1:7">
      <c r="B27" s="107"/>
      <c r="C27" s="105"/>
      <c r="D27" s="107"/>
      <c r="E27" s="107"/>
      <c r="F27" s="108"/>
      <c r="G27" s="107"/>
    </row>
    <row r="28" spans="1:7">
      <c r="B28" s="107"/>
      <c r="C28" s="104"/>
      <c r="D28" s="107"/>
      <c r="E28" s="107"/>
      <c r="F28" s="107"/>
      <c r="G28" s="107"/>
    </row>
    <row r="29" spans="1:7">
      <c r="B29" s="107"/>
      <c r="C29" s="105"/>
      <c r="D29" s="107"/>
      <c r="E29" s="107"/>
      <c r="F29" s="107"/>
      <c r="G29" s="107"/>
    </row>
    <row r="30" spans="1:7">
      <c r="B30" s="107"/>
      <c r="C30" s="104"/>
      <c r="D30" s="107"/>
      <c r="E30" s="107"/>
      <c r="F30" s="107"/>
      <c r="G30" s="107"/>
    </row>
    <row r="31" spans="1:7">
      <c r="B31" s="107"/>
      <c r="C31" s="105"/>
      <c r="D31" s="107"/>
      <c r="E31" s="107"/>
      <c r="F31" s="107"/>
      <c r="G31" s="107"/>
    </row>
    <row r="32" spans="1:7">
      <c r="B32" s="107"/>
      <c r="C32" s="104"/>
      <c r="D32" s="107"/>
      <c r="E32" s="107"/>
      <c r="F32" s="107"/>
      <c r="G32" s="107"/>
    </row>
    <row r="33" spans="2:7">
      <c r="B33" s="107"/>
      <c r="C33" s="105"/>
      <c r="D33" s="107"/>
      <c r="E33" s="107"/>
      <c r="F33" s="107"/>
      <c r="G33" s="107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36"/>
  <sheetViews>
    <sheetView topLeftCell="A40" workbookViewId="0">
      <selection activeCell="K10" sqref="K10"/>
    </sheetView>
  </sheetViews>
  <sheetFormatPr defaultRowHeight="15"/>
  <cols>
    <col min="1" max="1" width="52.5703125" bestFit="1" customWidth="1"/>
    <col min="2" max="2" width="15.140625" bestFit="1" customWidth="1"/>
    <col min="3" max="3" width="14.28515625" bestFit="1" customWidth="1"/>
    <col min="4" max="4" width="10.140625" bestFit="1" customWidth="1"/>
    <col min="5" max="5" width="5.7109375" bestFit="1" customWidth="1"/>
    <col min="6" max="6" width="9.28515625" bestFit="1" customWidth="1"/>
    <col min="7" max="7" width="16.42578125" bestFit="1" customWidth="1"/>
    <col min="8" max="9" width="9.28515625" bestFit="1" customWidth="1"/>
    <col min="10" max="10" width="12.28515625" bestFit="1" customWidth="1"/>
    <col min="11" max="11" width="13.42578125" bestFit="1" customWidth="1"/>
    <col min="12" max="12" width="9.7109375" bestFit="1" customWidth="1"/>
    <col min="13" max="13" width="16.42578125" bestFit="1" customWidth="1"/>
    <col min="14" max="14" width="10.7109375" bestFit="1" customWidth="1"/>
    <col min="15" max="15" width="13.85546875" bestFit="1" customWidth="1"/>
    <col min="16" max="16" width="13.28515625" bestFit="1" customWidth="1"/>
    <col min="17" max="17" width="8.7109375" bestFit="1" customWidth="1"/>
    <col min="18" max="18" width="9.140625" bestFit="1" customWidth="1"/>
    <col min="19" max="19" width="10.140625" bestFit="1" customWidth="1"/>
    <col min="20" max="20" width="9.28515625" bestFit="1" customWidth="1"/>
    <col min="21" max="21" width="9.7109375" bestFit="1" customWidth="1"/>
    <col min="22" max="22" width="15.28515625" bestFit="1" customWidth="1"/>
    <col min="23" max="23" width="12.5703125" bestFit="1" customWidth="1"/>
    <col min="24" max="24" width="14.140625" bestFit="1" customWidth="1"/>
    <col min="25" max="25" width="13.5703125" bestFit="1" customWidth="1"/>
    <col min="26" max="26" width="22.28515625" bestFit="1" customWidth="1"/>
    <col min="27" max="27" width="6.7109375" bestFit="1" customWidth="1"/>
    <col min="28" max="28" width="16.7109375" bestFit="1" customWidth="1"/>
    <col min="29" max="29" width="25.85546875" bestFit="1" customWidth="1"/>
    <col min="30" max="30" width="13.7109375" bestFit="1" customWidth="1"/>
    <col min="31" max="31" width="21" bestFit="1" customWidth="1"/>
    <col min="32" max="32" width="9" bestFit="1" customWidth="1"/>
    <col min="33" max="33" width="17.42578125" bestFit="1" customWidth="1"/>
    <col min="34" max="34" width="32.5703125" bestFit="1" customWidth="1"/>
    <col min="35" max="35" width="36.7109375" bestFit="1" customWidth="1"/>
    <col min="36" max="36" width="43.28515625" bestFit="1" customWidth="1"/>
    <col min="37" max="37" width="40.140625" bestFit="1" customWidth="1"/>
    <col min="38" max="38" width="6.140625" bestFit="1" customWidth="1"/>
    <col min="39" max="39" width="18.5703125" bestFit="1" customWidth="1"/>
    <col min="40" max="40" width="9.140625" bestFit="1" customWidth="1"/>
    <col min="41" max="41" width="13" bestFit="1" customWidth="1"/>
    <col min="42" max="42" width="10.42578125" bestFit="1" customWidth="1"/>
    <col min="43" max="43" width="11.42578125" bestFit="1" customWidth="1"/>
    <col min="44" max="44" width="15.85546875" bestFit="1" customWidth="1"/>
    <col min="45" max="45" width="28" bestFit="1" customWidth="1"/>
    <col min="46" max="46" width="6.42578125" bestFit="1" customWidth="1"/>
    <col min="47" max="47" width="15.7109375" bestFit="1" customWidth="1"/>
    <col min="48" max="48" width="8.85546875" bestFit="1" customWidth="1"/>
    <col min="49" max="49" width="53.85546875" bestFit="1" customWidth="1"/>
    <col min="50" max="50" width="7.28515625" bestFit="1" customWidth="1"/>
    <col min="51" max="51" width="38.28515625" bestFit="1" customWidth="1"/>
    <col min="52" max="52" width="39.7109375" bestFit="1" customWidth="1"/>
    <col min="53" max="53" width="8.28515625" bestFit="1" customWidth="1"/>
    <col min="54" max="54" width="23.42578125" bestFit="1" customWidth="1"/>
    <col min="55" max="55" width="9.7109375" bestFit="1" customWidth="1"/>
    <col min="56" max="56" width="22.140625" bestFit="1" customWidth="1"/>
    <col min="57" max="57" width="27.85546875" bestFit="1" customWidth="1"/>
    <col min="58" max="58" width="16.85546875" bestFit="1" customWidth="1"/>
    <col min="59" max="59" width="15" bestFit="1" customWidth="1"/>
    <col min="60" max="60" width="16.28515625" bestFit="1" customWidth="1"/>
    <col min="61" max="61" width="8.42578125" bestFit="1" customWidth="1"/>
    <col min="62" max="62" width="13.28515625" bestFit="1" customWidth="1"/>
    <col min="63" max="63" width="8.28515625" bestFit="1" customWidth="1"/>
    <col min="64" max="64" width="12" bestFit="1" customWidth="1"/>
    <col min="65" max="65" width="30.42578125" bestFit="1" customWidth="1"/>
    <col min="66" max="66" width="8.28515625" bestFit="1" customWidth="1"/>
    <col min="67" max="67" width="9.85546875" bestFit="1" customWidth="1"/>
    <col min="68" max="68" width="4.85546875" bestFit="1" customWidth="1"/>
    <col min="69" max="69" width="31" bestFit="1" customWidth="1"/>
    <col min="70" max="70" width="34.85546875" bestFit="1" customWidth="1"/>
    <col min="71" max="71" width="37.5703125" bestFit="1" customWidth="1"/>
    <col min="72" max="72" width="27.85546875" bestFit="1" customWidth="1"/>
    <col min="73" max="73" width="17.42578125" bestFit="1" customWidth="1"/>
    <col min="74" max="74" width="11.42578125" bestFit="1" customWidth="1"/>
    <col min="75" max="75" width="12.42578125" bestFit="1" customWidth="1"/>
    <col min="76" max="76" width="14.140625" bestFit="1" customWidth="1"/>
    <col min="77" max="77" width="15.28515625" bestFit="1" customWidth="1"/>
    <col min="78" max="78" width="14.140625" bestFit="1" customWidth="1"/>
    <col min="79" max="79" width="13.7109375" bestFit="1" customWidth="1"/>
    <col min="80" max="80" width="12.42578125" bestFit="1" customWidth="1"/>
    <col min="81" max="81" width="11.28515625" bestFit="1" customWidth="1"/>
    <col min="82" max="82" width="46.85546875" bestFit="1" customWidth="1"/>
    <col min="83" max="83" width="15.140625" bestFit="1" customWidth="1"/>
    <col min="84" max="84" width="31.42578125" bestFit="1" customWidth="1"/>
    <col min="85" max="85" width="12.28515625" bestFit="1" customWidth="1"/>
    <col min="86" max="86" width="27.42578125" bestFit="1" customWidth="1"/>
    <col min="87" max="87" width="20.7109375" bestFit="1" customWidth="1"/>
    <col min="88" max="88" width="5.42578125" bestFit="1" customWidth="1"/>
    <col min="89" max="89" width="12.28515625" bestFit="1" customWidth="1"/>
    <col min="90" max="90" width="6.28515625" bestFit="1" customWidth="1"/>
    <col min="91" max="91" width="18.42578125" bestFit="1" customWidth="1"/>
    <col min="92" max="92" width="24.28515625" bestFit="1" customWidth="1"/>
    <col min="93" max="93" width="33.42578125" bestFit="1" customWidth="1"/>
    <col min="94" max="94" width="16.28515625" bestFit="1" customWidth="1"/>
    <col min="95" max="95" width="16.140625" bestFit="1" customWidth="1"/>
    <col min="96" max="96" width="18.85546875" bestFit="1" customWidth="1"/>
    <col min="97" max="97" width="31.42578125" bestFit="1" customWidth="1"/>
    <col min="98" max="98" width="19.85546875" bestFit="1" customWidth="1"/>
    <col min="99" max="99" width="8.7109375" bestFit="1" customWidth="1"/>
    <col min="100" max="100" width="21.28515625" bestFit="1" customWidth="1"/>
    <col min="101" max="101" width="9.85546875" bestFit="1" customWidth="1"/>
    <col min="102" max="102" width="14.7109375" bestFit="1" customWidth="1"/>
    <col min="103" max="103" width="8.5703125" bestFit="1" customWidth="1"/>
    <col min="104" max="104" width="25" bestFit="1" customWidth="1"/>
    <col min="105" max="105" width="7" bestFit="1" customWidth="1"/>
    <col min="106" max="106" width="22.7109375" bestFit="1" customWidth="1"/>
    <col min="107" max="107" width="41.42578125" bestFit="1" customWidth="1"/>
    <col min="108" max="108" width="18.5703125" bestFit="1" customWidth="1"/>
    <col min="109" max="109" width="24.5703125" bestFit="1" customWidth="1"/>
    <col min="110" max="110" width="28.28515625" bestFit="1" customWidth="1"/>
    <col min="111" max="111" width="12.7109375" bestFit="1" customWidth="1"/>
    <col min="112" max="112" width="67.85546875" bestFit="1" customWidth="1"/>
    <col min="113" max="113" width="57" bestFit="1" customWidth="1"/>
    <col min="114" max="114" width="8.140625" bestFit="1" customWidth="1"/>
    <col min="115" max="115" width="14.28515625" bestFit="1" customWidth="1"/>
    <col min="116" max="116" width="37.42578125" bestFit="1" customWidth="1"/>
    <col min="117" max="117" width="25.42578125" bestFit="1" customWidth="1"/>
    <col min="118" max="118" width="24.140625" bestFit="1" customWidth="1"/>
    <col min="119" max="119" width="25.7109375" bestFit="1" customWidth="1"/>
    <col min="120" max="120" width="30" bestFit="1" customWidth="1"/>
    <col min="121" max="121" width="35.140625" bestFit="1" customWidth="1"/>
    <col min="122" max="122" width="18.85546875" bestFit="1" customWidth="1"/>
    <col min="123" max="123" width="7.7109375" bestFit="1" customWidth="1"/>
    <col min="124" max="124" width="25.140625" bestFit="1" customWidth="1"/>
    <col min="125" max="125" width="4.42578125" bestFit="1" customWidth="1"/>
    <col min="126" max="126" width="41.5703125" bestFit="1" customWidth="1"/>
    <col min="127" max="127" width="39.28515625" bestFit="1" customWidth="1"/>
    <col min="128" max="128" width="25.28515625" bestFit="1" customWidth="1"/>
    <col min="129" max="129" width="42" bestFit="1" customWidth="1"/>
    <col min="130" max="130" width="30.28515625" bestFit="1" customWidth="1"/>
    <col min="131" max="131" width="14.28515625" bestFit="1" customWidth="1"/>
    <col min="132" max="132" width="9.5703125" bestFit="1" customWidth="1"/>
    <col min="133" max="133" width="14.28515625" bestFit="1" customWidth="1"/>
    <col min="134" max="134" width="16.85546875" bestFit="1" customWidth="1"/>
    <col min="135" max="135" width="20.140625" bestFit="1" customWidth="1"/>
    <col min="136" max="136" width="7.85546875" bestFit="1" customWidth="1"/>
    <col min="137" max="137" width="13.42578125" bestFit="1" customWidth="1"/>
    <col min="138" max="138" width="11.140625" bestFit="1" customWidth="1"/>
    <col min="139" max="139" width="6.7109375" bestFit="1" customWidth="1"/>
    <col min="140" max="140" width="21" bestFit="1" customWidth="1"/>
    <col min="141" max="141" width="20" bestFit="1" customWidth="1"/>
    <col min="142" max="142" width="15.42578125" bestFit="1" customWidth="1"/>
    <col min="143" max="143" width="16.5703125" bestFit="1" customWidth="1"/>
    <col min="144" max="145" width="17.5703125" bestFit="1" customWidth="1"/>
    <col min="146" max="146" width="6.5703125" bestFit="1" customWidth="1"/>
    <col min="147" max="147" width="8" bestFit="1" customWidth="1"/>
    <col min="148" max="148" width="11" bestFit="1" customWidth="1"/>
    <col min="149" max="149" width="15.7109375" bestFit="1" customWidth="1"/>
    <col min="150" max="150" width="9.28515625" bestFit="1" customWidth="1"/>
    <col min="151" max="151" width="32.42578125" bestFit="1" customWidth="1"/>
    <col min="152" max="152" width="6.5703125" bestFit="1" customWidth="1"/>
    <col min="153" max="153" width="11.5703125" bestFit="1" customWidth="1"/>
    <col min="154" max="154" width="9.140625" bestFit="1" customWidth="1"/>
    <col min="155" max="155" width="11.85546875" bestFit="1" customWidth="1"/>
    <col min="156" max="156" width="18.7109375" bestFit="1" customWidth="1"/>
    <col min="157" max="157" width="26.85546875" bestFit="1" customWidth="1"/>
    <col min="158" max="158" width="23.85546875" bestFit="1" customWidth="1"/>
    <col min="159" max="159" width="23.42578125" bestFit="1" customWidth="1"/>
    <col min="160" max="160" width="28.7109375" bestFit="1" customWidth="1"/>
    <col min="161" max="161" width="28.42578125" bestFit="1" customWidth="1"/>
    <col min="162" max="162" width="8" bestFit="1" customWidth="1"/>
    <col min="163" max="163" width="17" bestFit="1" customWidth="1"/>
    <col min="164" max="164" width="12" bestFit="1" customWidth="1"/>
    <col min="165" max="165" width="8.5703125" bestFit="1" customWidth="1"/>
    <col min="166" max="166" width="4.42578125" bestFit="1" customWidth="1"/>
    <col min="167" max="167" width="11.140625" bestFit="1" customWidth="1"/>
    <col min="168" max="168" width="35.85546875" bestFit="1" customWidth="1"/>
    <col min="169" max="169" width="7.28515625" bestFit="1" customWidth="1"/>
    <col min="170" max="170" width="38.28515625" bestFit="1" customWidth="1"/>
    <col min="171" max="171" width="8.42578125" bestFit="1" customWidth="1"/>
    <col min="172" max="172" width="15.42578125" bestFit="1" customWidth="1"/>
    <col min="173" max="173" width="10.85546875" bestFit="1" customWidth="1"/>
    <col min="174" max="174" width="14.28515625" bestFit="1" customWidth="1"/>
    <col min="175" max="175" width="17.5703125" bestFit="1" customWidth="1"/>
    <col min="176" max="176" width="9.140625" bestFit="1" customWidth="1"/>
    <col min="177" max="177" width="5.5703125" bestFit="1" customWidth="1"/>
    <col min="178" max="178" width="18.28515625" bestFit="1" customWidth="1"/>
    <col min="179" max="179" width="7.7109375" bestFit="1" customWidth="1"/>
    <col min="180" max="180" width="8.140625" bestFit="1" customWidth="1"/>
    <col min="181" max="181" width="8" bestFit="1" customWidth="1"/>
    <col min="182" max="182" width="32.85546875" bestFit="1" customWidth="1"/>
    <col min="183" max="183" width="10.140625" bestFit="1" customWidth="1"/>
    <col min="184" max="184" width="14" bestFit="1" customWidth="1"/>
    <col min="185" max="185" width="44.5703125" bestFit="1" customWidth="1"/>
    <col min="186" max="186" width="16.85546875" bestFit="1" customWidth="1"/>
    <col min="187" max="187" width="30.85546875" bestFit="1" customWidth="1"/>
    <col min="188" max="188" width="7" bestFit="1" customWidth="1"/>
    <col min="189" max="189" width="8.28515625" bestFit="1" customWidth="1"/>
    <col min="190" max="190" width="37.140625" bestFit="1" customWidth="1"/>
    <col min="191" max="191" width="26.7109375" bestFit="1" customWidth="1"/>
    <col min="192" max="192" width="13.28515625" bestFit="1" customWidth="1"/>
    <col min="193" max="193" width="10.42578125" bestFit="1" customWidth="1"/>
    <col min="194" max="194" width="10.7109375" bestFit="1" customWidth="1"/>
    <col min="195" max="195" width="9.28515625" bestFit="1" customWidth="1"/>
    <col min="196" max="196" width="30.140625" bestFit="1" customWidth="1"/>
    <col min="197" max="197" width="24.140625" bestFit="1" customWidth="1"/>
    <col min="198" max="198" width="4" bestFit="1" customWidth="1"/>
    <col min="199" max="199" width="13.28515625" bestFit="1" customWidth="1"/>
    <col min="200" max="201" width="5.7109375" bestFit="1" customWidth="1"/>
    <col min="202" max="202" width="8.140625" bestFit="1" customWidth="1"/>
    <col min="203" max="203" width="9.5703125" bestFit="1" customWidth="1"/>
    <col min="204" max="204" width="7.42578125" bestFit="1" customWidth="1"/>
    <col min="205" max="205" width="20.42578125" bestFit="1" customWidth="1"/>
    <col min="206" max="206" width="7.140625" bestFit="1" customWidth="1"/>
    <col min="207" max="207" width="46.85546875" bestFit="1" customWidth="1"/>
    <col min="208" max="208" width="8.42578125" bestFit="1" customWidth="1"/>
    <col min="209" max="209" width="10.85546875" bestFit="1" customWidth="1"/>
    <col min="210" max="210" width="17.85546875" bestFit="1" customWidth="1"/>
    <col min="211" max="211" width="18.140625" bestFit="1" customWidth="1"/>
    <col min="212" max="212" width="6.5703125" bestFit="1" customWidth="1"/>
    <col min="213" max="213" width="30.42578125" bestFit="1" customWidth="1"/>
    <col min="214" max="214" width="15.140625" bestFit="1" customWidth="1"/>
    <col min="215" max="215" width="11.5703125" bestFit="1" customWidth="1"/>
    <col min="216" max="216" width="11.7109375" bestFit="1" customWidth="1"/>
    <col min="217" max="217" width="9.7109375" bestFit="1" customWidth="1"/>
    <col min="218" max="218" width="12.140625" bestFit="1" customWidth="1"/>
    <col min="219" max="219" width="20.42578125" bestFit="1" customWidth="1"/>
    <col min="220" max="220" width="15.28515625" bestFit="1" customWidth="1"/>
    <col min="221" max="221" width="16.42578125" bestFit="1" customWidth="1"/>
    <col min="222" max="222" width="15.28515625" bestFit="1" customWidth="1"/>
    <col min="223" max="223" width="10.5703125" bestFit="1" customWidth="1"/>
    <col min="224" max="224" width="16" bestFit="1" customWidth="1"/>
    <col min="225" max="225" width="14.42578125" bestFit="1" customWidth="1"/>
    <col min="226" max="226" width="16.85546875" bestFit="1" customWidth="1"/>
    <col min="227" max="227" width="7.140625" bestFit="1" customWidth="1"/>
    <col min="228" max="228" width="12.5703125" bestFit="1" customWidth="1"/>
    <col min="229" max="229" width="14.42578125" bestFit="1" customWidth="1"/>
    <col min="230" max="230" width="12.5703125" bestFit="1" customWidth="1"/>
    <col min="231" max="231" width="19.140625" bestFit="1" customWidth="1"/>
    <col min="232" max="232" width="39.42578125" bestFit="1" customWidth="1"/>
    <col min="233" max="233" width="42.5703125" bestFit="1" customWidth="1"/>
    <col min="234" max="234" width="27.42578125" bestFit="1" customWidth="1"/>
    <col min="235" max="235" width="30.42578125" bestFit="1" customWidth="1"/>
    <col min="236" max="236" width="26.140625" bestFit="1" customWidth="1"/>
    <col min="237" max="237" width="29.140625" bestFit="1" customWidth="1"/>
    <col min="238" max="238" width="27.5703125" bestFit="1" customWidth="1"/>
    <col min="239" max="239" width="30.7109375" bestFit="1" customWidth="1"/>
    <col min="240" max="240" width="31.85546875" bestFit="1" customWidth="1"/>
    <col min="241" max="241" width="35" bestFit="1" customWidth="1"/>
    <col min="242" max="242" width="37" bestFit="1" customWidth="1"/>
    <col min="243" max="243" width="40.140625" bestFit="1" customWidth="1"/>
    <col min="244" max="244" width="20.7109375" bestFit="1" customWidth="1"/>
    <col min="245" max="245" width="23.85546875" bestFit="1" customWidth="1"/>
    <col min="246" max="246" width="9.5703125" bestFit="1" customWidth="1"/>
    <col min="247" max="247" width="12.42578125" bestFit="1" customWidth="1"/>
    <col min="248" max="248" width="27.140625" bestFit="1" customWidth="1"/>
    <col min="249" max="249" width="30.140625" bestFit="1" customWidth="1"/>
    <col min="250" max="250" width="6.28515625" bestFit="1" customWidth="1"/>
    <col min="251" max="251" width="9.28515625" bestFit="1" customWidth="1"/>
    <col min="252" max="252" width="43.5703125" bestFit="1" customWidth="1"/>
    <col min="253" max="253" width="46.5703125" bestFit="1" customWidth="1"/>
    <col min="254" max="254" width="41.140625" bestFit="1" customWidth="1"/>
    <col min="255" max="255" width="44.28515625" bestFit="1" customWidth="1"/>
    <col min="256" max="256" width="27.28515625" bestFit="1" customWidth="1"/>
    <col min="257" max="257" width="5.5703125" bestFit="1" customWidth="1"/>
    <col min="258" max="258" width="30.28515625" bestFit="1" customWidth="1"/>
    <col min="259" max="259" width="44" bestFit="1" customWidth="1"/>
    <col min="260" max="260" width="47.140625" bestFit="1" customWidth="1"/>
    <col min="261" max="261" width="32.140625" bestFit="1" customWidth="1"/>
    <col min="262" max="262" width="35.28515625" bestFit="1" customWidth="1"/>
    <col min="263" max="263" width="16.140625" bestFit="1" customWidth="1"/>
    <col min="264" max="264" width="19.28515625" bestFit="1" customWidth="1"/>
    <col min="265" max="265" width="11.42578125" bestFit="1" customWidth="1"/>
    <col min="266" max="266" width="14.5703125" bestFit="1" customWidth="1"/>
    <col min="267" max="267" width="16.140625" bestFit="1" customWidth="1"/>
    <col min="268" max="268" width="19.28515625" bestFit="1" customWidth="1"/>
    <col min="269" max="269" width="18.85546875" bestFit="1" customWidth="1"/>
    <col min="270" max="270" width="21.85546875" bestFit="1" customWidth="1"/>
    <col min="271" max="271" width="22.140625" bestFit="1" customWidth="1"/>
    <col min="272" max="272" width="25" bestFit="1" customWidth="1"/>
    <col min="273" max="273" width="9.7109375" bestFit="1" customWidth="1"/>
    <col min="274" max="274" width="12.7109375" bestFit="1" customWidth="1"/>
    <col min="275" max="275" width="15.28515625" bestFit="1" customWidth="1"/>
    <col min="276" max="276" width="18.42578125" bestFit="1" customWidth="1"/>
    <col min="277" max="277" width="13" bestFit="1" customWidth="1"/>
    <col min="278" max="278" width="16" bestFit="1" customWidth="1"/>
    <col min="279" max="279" width="8.5703125" bestFit="1" customWidth="1"/>
    <col min="280" max="280" width="11.5703125" bestFit="1" customWidth="1"/>
    <col min="281" max="281" width="23" bestFit="1" customWidth="1"/>
    <col min="282" max="282" width="26.140625" bestFit="1" customWidth="1"/>
    <col min="283" max="283" width="22" bestFit="1" customWidth="1"/>
    <col min="284" max="284" width="25" bestFit="1" customWidth="1"/>
    <col min="285" max="285" width="17.42578125" bestFit="1" customWidth="1"/>
    <col min="286" max="286" width="20.42578125" bestFit="1" customWidth="1"/>
    <col min="287" max="287" width="18.5703125" bestFit="1" customWidth="1"/>
    <col min="288" max="288" width="21.5703125" bestFit="1" customWidth="1"/>
    <col min="289" max="289" width="19.42578125" bestFit="1" customWidth="1"/>
    <col min="290" max="290" width="22.5703125" bestFit="1" customWidth="1"/>
    <col min="291" max="291" width="19.42578125" bestFit="1" customWidth="1"/>
    <col min="292" max="292" width="22.42578125" bestFit="1" customWidth="1"/>
    <col min="293" max="293" width="8.42578125" bestFit="1" customWidth="1"/>
    <col min="294" max="294" width="11.42578125" bestFit="1" customWidth="1"/>
    <col min="295" max="295" width="9.85546875" bestFit="1" customWidth="1"/>
    <col min="296" max="297" width="12.85546875" bestFit="1" customWidth="1"/>
    <col min="298" max="298" width="16" bestFit="1" customWidth="1"/>
    <col min="299" max="299" width="17.7109375" bestFit="1" customWidth="1"/>
    <col min="300" max="300" width="20.5703125" bestFit="1" customWidth="1"/>
    <col min="301" max="301" width="11.140625" bestFit="1" customWidth="1"/>
    <col min="302" max="302" width="14.140625" bestFit="1" customWidth="1"/>
    <col min="303" max="303" width="34.42578125" bestFit="1" customWidth="1"/>
    <col min="304" max="304" width="37.42578125" bestFit="1" customWidth="1"/>
    <col min="305" max="305" width="8.42578125" bestFit="1" customWidth="1"/>
    <col min="306" max="306" width="11.42578125" bestFit="1" customWidth="1"/>
    <col min="307" max="307" width="13.5703125" bestFit="1" customWidth="1"/>
    <col min="308" max="308" width="16.42578125" bestFit="1" customWidth="1"/>
    <col min="309" max="309" width="11" bestFit="1" customWidth="1"/>
    <col min="310" max="310" width="14" bestFit="1" customWidth="1"/>
    <col min="311" max="311" width="13.85546875" bestFit="1" customWidth="1"/>
    <col min="312" max="312" width="16.85546875" bestFit="1" customWidth="1"/>
    <col min="313" max="313" width="20.5703125" bestFit="1" customWidth="1"/>
    <col min="314" max="314" width="23.7109375" bestFit="1" customWidth="1"/>
    <col min="315" max="315" width="28.7109375" bestFit="1" customWidth="1"/>
    <col min="316" max="316" width="31.7109375" bestFit="1" customWidth="1"/>
    <col min="317" max="317" width="25.85546875" bestFit="1" customWidth="1"/>
    <col min="318" max="318" width="28.85546875" bestFit="1" customWidth="1"/>
    <col min="319" max="319" width="25.28515625" bestFit="1" customWidth="1"/>
    <col min="320" max="320" width="28.28515625" bestFit="1" customWidth="1"/>
    <col min="321" max="321" width="30.7109375" bestFit="1" customWidth="1"/>
    <col min="322" max="322" width="33.7109375" bestFit="1" customWidth="1"/>
    <col min="323" max="323" width="30.42578125" bestFit="1" customWidth="1"/>
    <col min="324" max="324" width="33.28515625" bestFit="1" customWidth="1"/>
    <col min="325" max="325" width="9.85546875" bestFit="1" customWidth="1"/>
    <col min="326" max="326" width="12.7109375" bestFit="1" customWidth="1"/>
    <col min="327" max="327" width="19" bestFit="1" customWidth="1"/>
    <col min="328" max="328" width="22.140625" bestFit="1" customWidth="1"/>
    <col min="329" max="329" width="14" bestFit="1" customWidth="1"/>
    <col min="330" max="330" width="16.85546875" bestFit="1" customWidth="1"/>
    <col min="331" max="331" width="10.42578125" bestFit="1" customWidth="1"/>
    <col min="332" max="332" width="13.5703125" bestFit="1" customWidth="1"/>
    <col min="333" max="333" width="6.28515625" bestFit="1" customWidth="1"/>
    <col min="334" max="334" width="9.28515625" bestFit="1" customWidth="1"/>
    <col min="335" max="335" width="13" bestFit="1" customWidth="1"/>
    <col min="336" max="497" width="5.5703125" bestFit="1" customWidth="1"/>
    <col min="498" max="498" width="11.140625" bestFit="1" customWidth="1"/>
    <col min="499" max="499" width="16.140625" bestFit="1" customWidth="1"/>
    <col min="500" max="500" width="37.7109375" bestFit="1" customWidth="1"/>
    <col min="501" max="501" width="40.85546875" bestFit="1" customWidth="1"/>
    <col min="503" max="503" width="12.140625" bestFit="1" customWidth="1"/>
    <col min="504" max="504" width="40.140625" bestFit="1" customWidth="1"/>
    <col min="505" max="505" width="43.140625" bestFit="1" customWidth="1"/>
    <col min="506" max="506" width="10.28515625" bestFit="1" customWidth="1"/>
    <col min="507" max="507" width="13.42578125" bestFit="1" customWidth="1"/>
    <col min="508" max="508" width="17.42578125" bestFit="1" customWidth="1"/>
    <col min="509" max="509" width="20.28515625" bestFit="1" customWidth="1"/>
    <col min="510" max="510" width="12.7109375" bestFit="1" customWidth="1"/>
    <col min="511" max="511" width="15.85546875" bestFit="1" customWidth="1"/>
    <col min="512" max="512" width="16.140625" bestFit="1" customWidth="1"/>
    <col min="513" max="513" width="19.28515625" bestFit="1" customWidth="1"/>
    <col min="514" max="514" width="19.42578125" bestFit="1" customWidth="1"/>
    <col min="515" max="515" width="22.5703125" bestFit="1" customWidth="1"/>
    <col min="516" max="516" width="11" bestFit="1" customWidth="1"/>
    <col min="517" max="517" width="14.140625" bestFit="1" customWidth="1"/>
    <col min="518" max="518" width="7.42578125" bestFit="1" customWidth="1"/>
    <col min="519" max="519" width="10.42578125" bestFit="1" customWidth="1"/>
    <col min="520" max="520" width="20.140625" bestFit="1" customWidth="1"/>
    <col min="521" max="521" width="23.140625" bestFit="1" customWidth="1"/>
    <col min="522" max="522" width="12.5703125" bestFit="1" customWidth="1"/>
  </cols>
  <sheetData>
    <row r="1" spans="1:23">
      <c r="A1" s="1" t="s">
        <v>3426</v>
      </c>
      <c r="B1" t="s">
        <v>3447</v>
      </c>
    </row>
    <row r="3" spans="1:23">
      <c r="A3" s="1" t="s">
        <v>3642</v>
      </c>
      <c r="B3" s="1" t="s">
        <v>3428</v>
      </c>
      <c r="C3" s="1" t="s">
        <v>3431</v>
      </c>
    </row>
    <row r="4" spans="1:23">
      <c r="B4" t="s">
        <v>3458</v>
      </c>
      <c r="G4" t="s">
        <v>3744</v>
      </c>
      <c r="H4" t="s">
        <v>3462</v>
      </c>
      <c r="J4" t="s">
        <v>3745</v>
      </c>
      <c r="K4" t="s">
        <v>3451</v>
      </c>
      <c r="M4" t="s">
        <v>3746</v>
      </c>
      <c r="N4" t="s">
        <v>3486</v>
      </c>
      <c r="O4" t="s">
        <v>3747</v>
      </c>
      <c r="P4" t="s">
        <v>3448</v>
      </c>
      <c r="V4" t="s">
        <v>3748</v>
      </c>
      <c r="W4" t="s">
        <v>3644</v>
      </c>
    </row>
    <row r="5" spans="1:23">
      <c r="A5" s="1" t="s">
        <v>2</v>
      </c>
      <c r="B5" t="s">
        <v>3476</v>
      </c>
      <c r="C5" t="s">
        <v>3443</v>
      </c>
      <c r="D5" t="s">
        <v>3506</v>
      </c>
      <c r="E5" t="s">
        <v>3500</v>
      </c>
      <c r="F5" t="s">
        <v>3498</v>
      </c>
      <c r="H5" t="s">
        <v>3443</v>
      </c>
      <c r="I5" t="s">
        <v>3498</v>
      </c>
      <c r="K5" t="s">
        <v>3443</v>
      </c>
      <c r="L5" t="s">
        <v>3499</v>
      </c>
      <c r="N5" t="s">
        <v>3476</v>
      </c>
      <c r="P5" t="s">
        <v>3490</v>
      </c>
      <c r="Q5" t="s">
        <v>3476</v>
      </c>
      <c r="R5" t="s">
        <v>3443</v>
      </c>
      <c r="S5" t="s">
        <v>3506</v>
      </c>
      <c r="T5" t="s">
        <v>3498</v>
      </c>
      <c r="U5" t="s">
        <v>3499</v>
      </c>
    </row>
    <row r="6" spans="1:23">
      <c r="A6" t="s">
        <v>3749</v>
      </c>
      <c r="K6">
        <v>1</v>
      </c>
      <c r="M6">
        <v>1</v>
      </c>
      <c r="W6">
        <v>1</v>
      </c>
    </row>
    <row r="7" spans="1:23">
      <c r="A7" t="s">
        <v>3750</v>
      </c>
      <c r="R7">
        <v>1</v>
      </c>
      <c r="V7">
        <v>1</v>
      </c>
      <c r="W7">
        <v>1</v>
      </c>
    </row>
    <row r="8" spans="1:23">
      <c r="A8" t="s">
        <v>3751</v>
      </c>
      <c r="N8">
        <v>1</v>
      </c>
      <c r="O8">
        <v>1</v>
      </c>
      <c r="W8">
        <v>1</v>
      </c>
    </row>
    <row r="9" spans="1:23">
      <c r="A9" t="s">
        <v>3752</v>
      </c>
      <c r="R9">
        <v>1</v>
      </c>
      <c r="V9">
        <v>1</v>
      </c>
      <c r="W9">
        <v>1</v>
      </c>
    </row>
    <row r="10" spans="1:23">
      <c r="A10" t="s">
        <v>3753</v>
      </c>
      <c r="C10">
        <v>1</v>
      </c>
      <c r="G10">
        <v>1</v>
      </c>
      <c r="W10">
        <v>1</v>
      </c>
    </row>
    <row r="11" spans="1:23">
      <c r="A11" t="s">
        <v>3754</v>
      </c>
      <c r="U11">
        <v>1</v>
      </c>
      <c r="V11">
        <v>1</v>
      </c>
      <c r="W11">
        <v>1</v>
      </c>
    </row>
    <row r="12" spans="1:23">
      <c r="A12" t="s">
        <v>3755</v>
      </c>
      <c r="P12">
        <v>1</v>
      </c>
      <c r="V12">
        <v>1</v>
      </c>
      <c r="W12">
        <v>1</v>
      </c>
    </row>
    <row r="13" spans="1:23">
      <c r="A13" t="s">
        <v>3756</v>
      </c>
      <c r="E13">
        <v>1</v>
      </c>
      <c r="G13">
        <v>1</v>
      </c>
      <c r="W13">
        <v>1</v>
      </c>
    </row>
    <row r="14" spans="1:23">
      <c r="A14" t="s">
        <v>3717</v>
      </c>
      <c r="F14">
        <v>1</v>
      </c>
      <c r="G14">
        <v>1</v>
      </c>
      <c r="W14">
        <v>1</v>
      </c>
    </row>
    <row r="15" spans="1:23">
      <c r="A15" t="s">
        <v>3757</v>
      </c>
      <c r="S15">
        <v>1</v>
      </c>
      <c r="V15">
        <v>1</v>
      </c>
      <c r="W15">
        <v>1</v>
      </c>
    </row>
    <row r="16" spans="1:23">
      <c r="A16" t="s">
        <v>3758</v>
      </c>
      <c r="T16">
        <v>1</v>
      </c>
      <c r="V16">
        <v>1</v>
      </c>
      <c r="W16">
        <v>1</v>
      </c>
    </row>
    <row r="17" spans="1:23">
      <c r="A17" t="s">
        <v>3759</v>
      </c>
      <c r="R17">
        <v>1</v>
      </c>
      <c r="V17">
        <v>1</v>
      </c>
      <c r="W17">
        <v>1</v>
      </c>
    </row>
    <row r="18" spans="1:23">
      <c r="A18" t="s">
        <v>3760</v>
      </c>
      <c r="R18">
        <v>1</v>
      </c>
      <c r="V18">
        <v>1</v>
      </c>
      <c r="W18">
        <v>1</v>
      </c>
    </row>
    <row r="19" spans="1:23">
      <c r="A19" t="s">
        <v>3761</v>
      </c>
      <c r="R19">
        <v>1</v>
      </c>
      <c r="V19">
        <v>1</v>
      </c>
      <c r="W19">
        <v>1</v>
      </c>
    </row>
    <row r="20" spans="1:23">
      <c r="A20" t="s">
        <v>3762</v>
      </c>
      <c r="T20">
        <v>1</v>
      </c>
      <c r="V20">
        <v>1</v>
      </c>
      <c r="W20">
        <v>1</v>
      </c>
    </row>
    <row r="21" spans="1:23">
      <c r="A21" t="s">
        <v>3763</v>
      </c>
      <c r="Q21">
        <v>1</v>
      </c>
      <c r="V21">
        <v>1</v>
      </c>
      <c r="W21">
        <v>1</v>
      </c>
    </row>
    <row r="22" spans="1:23">
      <c r="A22" t="s">
        <v>3764</v>
      </c>
      <c r="I22">
        <v>1</v>
      </c>
      <c r="J22">
        <v>1</v>
      </c>
      <c r="W22">
        <v>1</v>
      </c>
    </row>
    <row r="23" spans="1:23">
      <c r="A23" t="s">
        <v>3765</v>
      </c>
      <c r="D23">
        <v>1</v>
      </c>
      <c r="G23">
        <v>1</v>
      </c>
      <c r="W23">
        <v>1</v>
      </c>
    </row>
    <row r="24" spans="1:23">
      <c r="A24" t="s">
        <v>3715</v>
      </c>
      <c r="Q24">
        <v>1</v>
      </c>
      <c r="V24">
        <v>1</v>
      </c>
      <c r="W24">
        <v>1</v>
      </c>
    </row>
    <row r="25" spans="1:23">
      <c r="A25" t="s">
        <v>3766</v>
      </c>
      <c r="P25">
        <v>1</v>
      </c>
      <c r="V25">
        <v>1</v>
      </c>
      <c r="W25">
        <v>1</v>
      </c>
    </row>
    <row r="26" spans="1:23">
      <c r="A26" t="s">
        <v>3767</v>
      </c>
      <c r="Q26">
        <v>1</v>
      </c>
      <c r="V26">
        <v>1</v>
      </c>
      <c r="W26">
        <v>1</v>
      </c>
    </row>
    <row r="27" spans="1:23">
      <c r="A27" t="s">
        <v>3768</v>
      </c>
      <c r="H27">
        <v>1</v>
      </c>
      <c r="J27">
        <v>1</v>
      </c>
      <c r="W27">
        <v>1</v>
      </c>
    </row>
    <row r="28" spans="1:23">
      <c r="A28" t="s">
        <v>3769</v>
      </c>
      <c r="R28">
        <v>1</v>
      </c>
      <c r="V28">
        <v>1</v>
      </c>
      <c r="W28">
        <v>1</v>
      </c>
    </row>
    <row r="29" spans="1:23">
      <c r="A29" t="s">
        <v>3770</v>
      </c>
      <c r="T29">
        <v>1</v>
      </c>
      <c r="V29">
        <v>1</v>
      </c>
      <c r="W29">
        <v>1</v>
      </c>
    </row>
    <row r="30" spans="1:23">
      <c r="A30" t="s">
        <v>3771</v>
      </c>
      <c r="F30">
        <v>1</v>
      </c>
      <c r="G30">
        <v>1</v>
      </c>
      <c r="W30">
        <v>1</v>
      </c>
    </row>
    <row r="31" spans="1:23">
      <c r="A31" t="s">
        <v>3772</v>
      </c>
      <c r="B31">
        <v>1</v>
      </c>
      <c r="G31">
        <v>1</v>
      </c>
      <c r="W31">
        <v>1</v>
      </c>
    </row>
    <row r="32" spans="1:23">
      <c r="A32" t="s">
        <v>3773</v>
      </c>
      <c r="B32">
        <v>1</v>
      </c>
      <c r="G32">
        <v>1</v>
      </c>
      <c r="W32">
        <v>1</v>
      </c>
    </row>
    <row r="33" spans="1:23">
      <c r="A33" t="s">
        <v>3774</v>
      </c>
      <c r="B33">
        <v>1</v>
      </c>
      <c r="G33">
        <v>1</v>
      </c>
      <c r="W33">
        <v>1</v>
      </c>
    </row>
    <row r="34" spans="1:23">
      <c r="A34" t="s">
        <v>3775</v>
      </c>
      <c r="B34">
        <v>1</v>
      </c>
      <c r="G34">
        <v>1</v>
      </c>
      <c r="W34">
        <v>1</v>
      </c>
    </row>
    <row r="35" spans="1:23">
      <c r="A35" t="s">
        <v>3776</v>
      </c>
      <c r="L35">
        <v>1</v>
      </c>
      <c r="M35">
        <v>1</v>
      </c>
      <c r="W35">
        <v>1</v>
      </c>
    </row>
    <row r="36" spans="1:23">
      <c r="A36" t="s">
        <v>3644</v>
      </c>
      <c r="B36">
        <v>4</v>
      </c>
      <c r="C36">
        <v>1</v>
      </c>
      <c r="D36">
        <v>1</v>
      </c>
      <c r="E36">
        <v>1</v>
      </c>
      <c r="F36">
        <v>2</v>
      </c>
      <c r="G36">
        <v>9</v>
      </c>
      <c r="H36">
        <v>1</v>
      </c>
      <c r="I36">
        <v>1</v>
      </c>
      <c r="J36">
        <v>2</v>
      </c>
      <c r="K36">
        <v>1</v>
      </c>
      <c r="L36">
        <v>1</v>
      </c>
      <c r="M36">
        <v>2</v>
      </c>
      <c r="N36">
        <v>1</v>
      </c>
      <c r="O36">
        <v>1</v>
      </c>
      <c r="P36">
        <v>2</v>
      </c>
      <c r="Q36">
        <v>3</v>
      </c>
      <c r="R36">
        <v>6</v>
      </c>
      <c r="S36">
        <v>1</v>
      </c>
      <c r="T36">
        <v>3</v>
      </c>
      <c r="U36">
        <v>1</v>
      </c>
      <c r="V36">
        <v>16</v>
      </c>
      <c r="W36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2"/>
  <sheetViews>
    <sheetView topLeftCell="A35" workbookViewId="0">
      <selection activeCell="A4" sqref="A4"/>
    </sheetView>
  </sheetViews>
  <sheetFormatPr defaultColWidth="28.42578125" defaultRowHeight="15"/>
  <cols>
    <col min="3" max="3" width="48.28515625" customWidth="1"/>
    <col min="4" max="4" width="9.85546875" customWidth="1"/>
    <col min="5" max="5" width="8.85546875" customWidth="1"/>
  </cols>
  <sheetData>
    <row r="1" spans="1:4" ht="15.75" customHeight="1">
      <c r="B1" s="41"/>
    </row>
    <row r="2" spans="1:4">
      <c r="B2" s="22"/>
      <c r="C2" s="39"/>
      <c r="D2" s="39"/>
    </row>
    <row r="3" spans="1:4">
      <c r="B3" s="42"/>
      <c r="C3" s="39"/>
    </row>
    <row r="4" spans="1:4">
      <c r="A4" t="s">
        <v>3777</v>
      </c>
      <c r="B4" s="22"/>
      <c r="C4" s="40"/>
    </row>
    <row r="5" spans="1:4">
      <c r="A5" s="133"/>
      <c r="B5" s="132"/>
      <c r="C5" s="40"/>
    </row>
    <row r="6" spans="1:4" ht="30.75" customHeight="1">
      <c r="A6" s="133"/>
      <c r="B6" s="132"/>
      <c r="C6" s="129" t="s">
        <v>3778</v>
      </c>
      <c r="D6" s="130"/>
    </row>
    <row r="7" spans="1:4" ht="35.25" customHeight="1">
      <c r="A7" s="131"/>
      <c r="B7" s="132"/>
      <c r="C7" s="44" t="s">
        <v>3779</v>
      </c>
      <c r="D7" s="43">
        <v>280</v>
      </c>
    </row>
    <row r="8" spans="1:4" ht="36.75" customHeight="1">
      <c r="A8" s="134"/>
      <c r="B8" s="132"/>
      <c r="C8" s="45" t="s">
        <v>3780</v>
      </c>
      <c r="D8" s="43">
        <v>600</v>
      </c>
    </row>
    <row r="9" spans="1:4" ht="30.75" customHeight="1">
      <c r="A9" s="131"/>
      <c r="B9" s="132"/>
      <c r="C9" s="45" t="s">
        <v>3781</v>
      </c>
      <c r="D9" s="43">
        <v>38</v>
      </c>
    </row>
    <row r="10" spans="1:4" ht="30.75" customHeight="1">
      <c r="C10" s="45" t="s">
        <v>3782</v>
      </c>
      <c r="D10" s="43">
        <v>6</v>
      </c>
    </row>
    <row r="11" spans="1:4" ht="30.75" customHeight="1">
      <c r="C11" s="45"/>
      <c r="D11" s="43"/>
    </row>
    <row r="12" spans="1:4" ht="30.75" customHeight="1">
      <c r="C12" s="45"/>
      <c r="D12" s="43"/>
    </row>
  </sheetData>
  <mergeCells count="6">
    <mergeCell ref="C6:D6"/>
    <mergeCell ref="A7:B7"/>
    <mergeCell ref="A5:B5"/>
    <mergeCell ref="A9:B9"/>
    <mergeCell ref="A8:B8"/>
    <mergeCell ref="A6:B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9"/>
  <sheetViews>
    <sheetView topLeftCell="A8" workbookViewId="0"/>
  </sheetViews>
  <sheetFormatPr defaultRowHeight="20.25" customHeight="1"/>
  <cols>
    <col min="1" max="1" width="5.7109375" bestFit="1" customWidth="1"/>
    <col min="2" max="2" width="8.42578125" bestFit="1" customWidth="1"/>
    <col min="3" max="3" width="12.28515625" customWidth="1"/>
    <col min="4" max="4" width="69.28515625" customWidth="1"/>
    <col min="5" max="5" width="32" customWidth="1"/>
    <col min="6" max="6" width="15.140625" style="42" customWidth="1"/>
  </cols>
  <sheetData>
    <row r="1" spans="1:6" ht="20.25" customHeight="1">
      <c r="A1" s="77" t="s">
        <v>3432</v>
      </c>
      <c r="B1" s="77" t="s">
        <v>3586</v>
      </c>
      <c r="C1" s="77" t="s">
        <v>2</v>
      </c>
      <c r="D1" s="77" t="s">
        <v>3783</v>
      </c>
      <c r="E1" s="77" t="s">
        <v>8</v>
      </c>
      <c r="F1" s="77" t="s">
        <v>3784</v>
      </c>
    </row>
    <row r="2" spans="1:6" ht="20.25" customHeight="1">
      <c r="A2" s="42" t="s">
        <v>3444</v>
      </c>
      <c r="B2" s="42" t="s">
        <v>3785</v>
      </c>
      <c r="C2" s="42"/>
      <c r="D2" s="78" t="s">
        <v>3786</v>
      </c>
      <c r="E2" s="22" t="s">
        <v>3787</v>
      </c>
      <c r="F2" s="42" t="s">
        <v>3592</v>
      </c>
    </row>
    <row r="3" spans="1:6" ht="20.25" customHeight="1">
      <c r="A3" s="42" t="s">
        <v>3444</v>
      </c>
      <c r="B3" s="42" t="s">
        <v>3785</v>
      </c>
      <c r="C3" s="42"/>
      <c r="D3" s="78" t="s">
        <v>3788</v>
      </c>
      <c r="E3" s="22" t="s">
        <v>3787</v>
      </c>
      <c r="F3" s="42" t="s">
        <v>3592</v>
      </c>
    </row>
    <row r="4" spans="1:6" ht="20.25" customHeight="1">
      <c r="A4" s="82" t="s">
        <v>3444</v>
      </c>
      <c r="B4" s="82" t="s">
        <v>3785</v>
      </c>
      <c r="C4" s="82"/>
      <c r="D4" s="83" t="s">
        <v>3789</v>
      </c>
      <c r="E4" s="84" t="s">
        <v>3787</v>
      </c>
      <c r="F4" s="82" t="s">
        <v>3594</v>
      </c>
    </row>
    <row r="5" spans="1:6" ht="20.25" customHeight="1">
      <c r="A5" s="82" t="s">
        <v>3444</v>
      </c>
      <c r="B5" s="82" t="s">
        <v>3785</v>
      </c>
      <c r="C5" s="82"/>
      <c r="D5" s="83" t="s">
        <v>3790</v>
      </c>
      <c r="E5" s="84" t="s">
        <v>3787</v>
      </c>
      <c r="F5" s="82" t="s">
        <v>3594</v>
      </c>
    </row>
    <row r="6" spans="1:6" ht="20.25" customHeight="1">
      <c r="A6" s="82" t="s">
        <v>3444</v>
      </c>
      <c r="B6" s="82" t="s">
        <v>3785</v>
      </c>
      <c r="C6" s="82"/>
      <c r="D6" s="83" t="s">
        <v>3791</v>
      </c>
      <c r="E6" s="84" t="s">
        <v>3787</v>
      </c>
      <c r="F6" s="82" t="s">
        <v>3594</v>
      </c>
    </row>
    <row r="7" spans="1:6" ht="20.25" customHeight="1">
      <c r="A7" s="42" t="s">
        <v>3444</v>
      </c>
      <c r="B7" s="42" t="s">
        <v>3785</v>
      </c>
      <c r="C7" s="42"/>
      <c r="D7" s="78" t="s">
        <v>3792</v>
      </c>
      <c r="E7" s="22" t="s">
        <v>3787</v>
      </c>
    </row>
    <row r="8" spans="1:6" ht="20.25" customHeight="1">
      <c r="A8" s="42" t="s">
        <v>3477</v>
      </c>
      <c r="B8" s="42" t="s">
        <v>3785</v>
      </c>
      <c r="C8" s="42" t="s">
        <v>3793</v>
      </c>
      <c r="D8" s="42"/>
      <c r="E8" s="22"/>
    </row>
    <row r="9" spans="1:6" ht="20.25" customHeight="1">
      <c r="A9" s="42" t="s">
        <v>3477</v>
      </c>
      <c r="B9" s="42" t="s">
        <v>3785</v>
      </c>
      <c r="C9" s="42" t="s">
        <v>3794</v>
      </c>
      <c r="D9" s="42"/>
      <c r="E9" s="22"/>
    </row>
    <row r="10" spans="1:6" ht="20.25" customHeight="1">
      <c r="A10" s="42" t="s">
        <v>3477</v>
      </c>
      <c r="B10" s="42" t="s">
        <v>3785</v>
      </c>
      <c r="C10" s="42" t="s">
        <v>3795</v>
      </c>
      <c r="D10" s="42"/>
      <c r="E10" s="22"/>
    </row>
    <row r="11" spans="1:6" ht="20.25" customHeight="1">
      <c r="A11" s="42" t="s">
        <v>3477</v>
      </c>
      <c r="B11" s="42" t="s">
        <v>3785</v>
      </c>
      <c r="C11" s="42" t="s">
        <v>3796</v>
      </c>
      <c r="D11" s="42"/>
      <c r="E11" s="22"/>
      <c r="F11" s="42" t="s">
        <v>3592</v>
      </c>
    </row>
    <row r="12" spans="1:6" ht="20.25" customHeight="1">
      <c r="A12" s="42" t="s">
        <v>3477</v>
      </c>
      <c r="B12" s="42" t="s">
        <v>3785</v>
      </c>
      <c r="C12" s="42" t="s">
        <v>3797</v>
      </c>
      <c r="D12" s="42"/>
      <c r="E12" s="22"/>
    </row>
    <row r="13" spans="1:6" ht="20.25" customHeight="1">
      <c r="A13" s="42" t="s">
        <v>3477</v>
      </c>
      <c r="B13" s="42" t="s">
        <v>3785</v>
      </c>
      <c r="C13" s="42" t="s">
        <v>3798</v>
      </c>
      <c r="D13" s="42"/>
      <c r="E13" s="22"/>
    </row>
    <row r="14" spans="1:6" ht="20.25" customHeight="1">
      <c r="A14" s="42" t="s">
        <v>3477</v>
      </c>
      <c r="B14" s="42" t="s">
        <v>3785</v>
      </c>
      <c r="C14" s="42" t="s">
        <v>3799</v>
      </c>
      <c r="D14" s="42"/>
      <c r="E14" s="22"/>
    </row>
    <row r="15" spans="1:6" ht="20.25" customHeight="1">
      <c r="A15" s="42"/>
      <c r="B15" s="42"/>
      <c r="C15" s="42"/>
      <c r="D15" s="42"/>
      <c r="E15" s="22"/>
    </row>
    <row r="16" spans="1:6" ht="20.25" customHeight="1">
      <c r="A16" s="42"/>
      <c r="B16" s="42"/>
      <c r="C16" s="42"/>
      <c r="D16" s="42"/>
      <c r="E16" s="22"/>
    </row>
    <row r="17" spans="1:5" ht="20.25" customHeight="1">
      <c r="A17" s="42"/>
      <c r="B17" s="42"/>
      <c r="C17" s="42"/>
      <c r="D17" s="42"/>
      <c r="E17" s="22"/>
    </row>
    <row r="18" spans="1:5" ht="20.25" customHeight="1">
      <c r="A18" s="42"/>
      <c r="B18" s="42"/>
      <c r="C18" s="42"/>
      <c r="D18" s="42"/>
      <c r="E18" s="22"/>
    </row>
    <row r="19" spans="1:5" ht="20.25" customHeight="1">
      <c r="A19" s="42"/>
      <c r="B19" s="42"/>
      <c r="C19" s="42"/>
      <c r="D19" s="42"/>
      <c r="E19" s="22"/>
    </row>
    <row r="20" spans="1:5" ht="20.25" customHeight="1">
      <c r="A20" s="42"/>
      <c r="B20" s="42"/>
      <c r="C20" s="42"/>
      <c r="D20" s="42"/>
      <c r="E20" s="22"/>
    </row>
    <row r="21" spans="1:5" ht="20.25" customHeight="1">
      <c r="A21" s="42"/>
      <c r="B21" s="42"/>
      <c r="C21" s="42"/>
      <c r="D21" s="42"/>
      <c r="E21" s="22"/>
    </row>
    <row r="22" spans="1:5" ht="20.25" customHeight="1">
      <c r="A22" s="42"/>
      <c r="B22" s="42"/>
      <c r="C22" s="42"/>
      <c r="D22" s="42"/>
      <c r="E22" s="22"/>
    </row>
    <row r="23" spans="1:5" ht="20.25" customHeight="1">
      <c r="A23" s="42"/>
      <c r="B23" s="42"/>
      <c r="C23" s="42"/>
      <c r="D23" s="42"/>
      <c r="E23" s="22"/>
    </row>
    <row r="24" spans="1:5" ht="20.25" customHeight="1">
      <c r="A24" s="42"/>
      <c r="B24" s="42"/>
      <c r="C24" s="42"/>
      <c r="D24" s="42"/>
      <c r="E24" s="22"/>
    </row>
    <row r="25" spans="1:5" ht="20.25" customHeight="1">
      <c r="A25" s="42"/>
      <c r="B25" s="42"/>
      <c r="C25" s="42"/>
      <c r="D25" s="42"/>
      <c r="E25" s="22"/>
    </row>
    <row r="26" spans="1:5" ht="20.25" customHeight="1">
      <c r="A26" s="42"/>
      <c r="B26" s="42"/>
      <c r="C26" s="42"/>
      <c r="D26" s="42"/>
      <c r="E26" s="22"/>
    </row>
    <row r="27" spans="1:5" ht="20.25" customHeight="1">
      <c r="A27" s="42"/>
      <c r="B27" s="42"/>
      <c r="C27" s="42"/>
      <c r="D27" s="42"/>
      <c r="E27" s="22"/>
    </row>
    <row r="28" spans="1:5" ht="20.25" customHeight="1">
      <c r="A28" s="42"/>
      <c r="B28" s="42"/>
      <c r="C28" s="42"/>
      <c r="D28" s="42"/>
      <c r="E28" s="22"/>
    </row>
    <row r="29" spans="1:5" ht="20.25" customHeight="1">
      <c r="A29" s="42"/>
      <c r="B29" s="42"/>
      <c r="C29" s="42"/>
      <c r="D29" s="42"/>
      <c r="E29" s="22"/>
    </row>
    <row r="30" spans="1:5" ht="20.25" customHeight="1">
      <c r="A30" s="42"/>
      <c r="B30" s="42"/>
      <c r="C30" s="42"/>
      <c r="D30" s="42"/>
      <c r="E30" s="22"/>
    </row>
    <row r="31" spans="1:5" ht="20.25" customHeight="1">
      <c r="A31" s="42"/>
      <c r="B31" s="42"/>
      <c r="C31" s="42"/>
      <c r="D31" s="42"/>
      <c r="E31" s="22"/>
    </row>
    <row r="32" spans="1:5" ht="20.25" customHeight="1">
      <c r="A32" s="42"/>
      <c r="B32" s="42"/>
      <c r="C32" s="42"/>
      <c r="D32" s="42"/>
      <c r="E32" s="22"/>
    </row>
    <row r="33" spans="1:5" ht="20.25" customHeight="1">
      <c r="A33" s="42"/>
      <c r="B33" s="42"/>
      <c r="C33" s="42"/>
      <c r="D33" s="42"/>
      <c r="E33" s="22"/>
    </row>
    <row r="34" spans="1:5" ht="20.25" customHeight="1">
      <c r="A34" s="42"/>
      <c r="B34" s="42"/>
      <c r="C34" s="42"/>
      <c r="D34" s="42"/>
      <c r="E34" s="22"/>
    </row>
    <row r="35" spans="1:5" ht="20.25" customHeight="1">
      <c r="A35" s="42"/>
      <c r="B35" s="42"/>
      <c r="C35" s="42"/>
      <c r="D35" s="42"/>
      <c r="E35" s="22"/>
    </row>
    <row r="36" spans="1:5" ht="20.25" customHeight="1">
      <c r="A36" s="42"/>
      <c r="B36" s="42"/>
      <c r="C36" s="42"/>
      <c r="D36" s="42"/>
      <c r="E36" s="22"/>
    </row>
    <row r="37" spans="1:5" ht="20.25" customHeight="1">
      <c r="A37" s="42"/>
      <c r="B37" s="42"/>
      <c r="C37" s="42"/>
      <c r="D37" s="42"/>
      <c r="E37" s="22"/>
    </row>
    <row r="38" spans="1:5" ht="20.25" customHeight="1">
      <c r="A38" s="42"/>
      <c r="B38" s="42"/>
      <c r="C38" s="42"/>
      <c r="D38" s="42"/>
      <c r="E38" s="22"/>
    </row>
    <row r="39" spans="1:5" ht="20.25" customHeight="1">
      <c r="A39" s="42"/>
      <c r="B39" s="42"/>
      <c r="C39" s="42"/>
      <c r="D39" s="42"/>
      <c r="E39" s="22"/>
    </row>
    <row r="40" spans="1:5" ht="20.25" customHeight="1">
      <c r="A40" s="42"/>
      <c r="B40" s="42"/>
      <c r="C40" s="42"/>
      <c r="D40" s="42"/>
      <c r="E40" s="22"/>
    </row>
    <row r="41" spans="1:5" ht="20.25" customHeight="1">
      <c r="A41" s="42"/>
      <c r="B41" s="42"/>
      <c r="C41" s="42"/>
      <c r="D41" s="42"/>
      <c r="E41" s="22"/>
    </row>
    <row r="42" spans="1:5" ht="20.25" customHeight="1">
      <c r="A42" s="42"/>
      <c r="B42" s="42"/>
      <c r="C42" s="42"/>
      <c r="D42" s="42"/>
      <c r="E42" s="22"/>
    </row>
    <row r="43" spans="1:5" ht="20.25" customHeight="1">
      <c r="A43" s="42"/>
      <c r="B43" s="42"/>
      <c r="C43" s="42"/>
      <c r="D43" s="42"/>
      <c r="E43" s="22"/>
    </row>
    <row r="44" spans="1:5" ht="20.25" customHeight="1">
      <c r="A44" s="42"/>
      <c r="B44" s="42"/>
      <c r="C44" s="42"/>
      <c r="D44" s="42"/>
      <c r="E44" s="22"/>
    </row>
    <row r="45" spans="1:5" ht="20.25" customHeight="1">
      <c r="A45" s="42"/>
      <c r="B45" s="42"/>
      <c r="C45" s="42"/>
      <c r="D45" s="42"/>
      <c r="E45" s="22"/>
    </row>
    <row r="46" spans="1:5" ht="20.25" customHeight="1">
      <c r="A46" s="42"/>
      <c r="B46" s="42"/>
      <c r="C46" s="42"/>
      <c r="D46" s="42"/>
      <c r="E46" s="22"/>
    </row>
    <row r="47" spans="1:5" ht="20.25" customHeight="1">
      <c r="A47" s="42"/>
      <c r="B47" s="42"/>
      <c r="C47" s="42"/>
      <c r="D47" s="42"/>
      <c r="E47" s="22"/>
    </row>
    <row r="48" spans="1:5" ht="20.25" customHeight="1">
      <c r="A48" s="42"/>
      <c r="B48" s="42"/>
      <c r="C48" s="42"/>
      <c r="D48" s="42"/>
      <c r="E48" s="22"/>
    </row>
    <row r="49" spans="1:5" ht="20.25" customHeight="1">
      <c r="A49" s="42"/>
      <c r="B49" s="42"/>
      <c r="C49" s="42"/>
      <c r="D49" s="42"/>
      <c r="E49" s="22"/>
    </row>
    <row r="50" spans="1:5" ht="20.25" customHeight="1">
      <c r="A50" s="42"/>
      <c r="B50" s="42"/>
      <c r="C50" s="42"/>
      <c r="D50" s="42"/>
      <c r="E50" s="22"/>
    </row>
    <row r="51" spans="1:5" ht="20.25" customHeight="1">
      <c r="A51" s="42"/>
      <c r="B51" s="42"/>
      <c r="C51" s="42"/>
      <c r="D51" s="42"/>
      <c r="E51" s="22"/>
    </row>
    <row r="52" spans="1:5" ht="20.25" customHeight="1">
      <c r="A52" s="42"/>
      <c r="B52" s="42"/>
      <c r="C52" s="42"/>
      <c r="D52" s="42"/>
      <c r="E52" s="22"/>
    </row>
    <row r="53" spans="1:5" ht="20.25" customHeight="1">
      <c r="A53" s="42"/>
      <c r="B53" s="42"/>
      <c r="C53" s="42"/>
      <c r="D53" s="42"/>
      <c r="E53" s="22"/>
    </row>
    <row r="54" spans="1:5" ht="20.25" customHeight="1">
      <c r="A54" s="42"/>
      <c r="B54" s="42"/>
      <c r="C54" s="42"/>
      <c r="D54" s="42"/>
      <c r="E54" s="22"/>
    </row>
    <row r="55" spans="1:5" ht="20.25" customHeight="1">
      <c r="A55" s="42"/>
      <c r="B55" s="42"/>
      <c r="C55" s="42"/>
      <c r="D55" s="42"/>
      <c r="E55" s="22"/>
    </row>
    <row r="56" spans="1:5" ht="20.25" customHeight="1">
      <c r="A56" s="42"/>
      <c r="B56" s="42"/>
      <c r="C56" s="42"/>
      <c r="D56" s="42"/>
      <c r="E56" s="22"/>
    </row>
    <row r="57" spans="1:5" ht="20.25" customHeight="1">
      <c r="A57" s="42"/>
      <c r="B57" s="42"/>
      <c r="C57" s="42"/>
      <c r="D57" s="42"/>
      <c r="E57" s="22"/>
    </row>
    <row r="58" spans="1:5" ht="20.25" customHeight="1">
      <c r="A58" s="42"/>
      <c r="B58" s="42"/>
      <c r="C58" s="42"/>
      <c r="D58" s="42"/>
      <c r="E58" s="22"/>
    </row>
    <row r="59" spans="1:5" ht="20.25" customHeight="1">
      <c r="A59" s="42"/>
      <c r="B59" s="42"/>
      <c r="C59" s="42"/>
      <c r="D59" s="42"/>
      <c r="E59" s="22"/>
    </row>
    <row r="60" spans="1:5" ht="20.25" customHeight="1">
      <c r="A60" s="42"/>
      <c r="B60" s="42"/>
      <c r="C60" s="42"/>
      <c r="D60" s="42"/>
      <c r="E60" s="22"/>
    </row>
    <row r="61" spans="1:5" ht="20.25" customHeight="1">
      <c r="A61" s="42"/>
      <c r="B61" s="42"/>
      <c r="C61" s="42"/>
      <c r="D61" s="42"/>
      <c r="E61" s="22"/>
    </row>
    <row r="62" spans="1:5" ht="20.25" customHeight="1">
      <c r="A62" s="42"/>
      <c r="B62" s="42"/>
      <c r="C62" s="42"/>
      <c r="D62" s="42"/>
      <c r="E62" s="22"/>
    </row>
    <row r="63" spans="1:5" ht="20.25" customHeight="1">
      <c r="A63" s="42"/>
      <c r="B63" s="42"/>
      <c r="C63" s="42"/>
      <c r="D63" s="42"/>
      <c r="E63" s="22"/>
    </row>
    <row r="64" spans="1:5" ht="20.25" customHeight="1">
      <c r="A64" s="42"/>
      <c r="B64" s="42"/>
      <c r="C64" s="42"/>
      <c r="D64" s="42"/>
      <c r="E64" s="22"/>
    </row>
    <row r="65" spans="1:5" ht="20.25" customHeight="1">
      <c r="A65" s="42"/>
      <c r="B65" s="42"/>
      <c r="C65" s="42"/>
      <c r="D65" s="42"/>
      <c r="E65" s="22"/>
    </row>
    <row r="66" spans="1:5" ht="20.25" customHeight="1">
      <c r="A66" s="42"/>
      <c r="B66" s="42"/>
      <c r="C66" s="42"/>
      <c r="D66" s="42"/>
      <c r="E66" s="22"/>
    </row>
    <row r="67" spans="1:5" ht="20.25" customHeight="1">
      <c r="A67" s="42"/>
      <c r="B67" s="42"/>
      <c r="C67" s="42"/>
      <c r="D67" s="42"/>
      <c r="E67" s="22"/>
    </row>
    <row r="68" spans="1:5" ht="20.25" customHeight="1">
      <c r="A68" s="42"/>
      <c r="B68" s="42"/>
      <c r="C68" s="42"/>
      <c r="D68" s="42"/>
      <c r="E68" s="22"/>
    </row>
    <row r="69" spans="1:5" ht="20.25" customHeight="1">
      <c r="A69" s="42"/>
      <c r="B69" s="42"/>
      <c r="C69" s="42"/>
      <c r="D69" s="42"/>
      <c r="E69" s="22"/>
    </row>
    <row r="70" spans="1:5" ht="20.25" customHeight="1">
      <c r="A70" s="42"/>
      <c r="B70" s="42"/>
      <c r="C70" s="42"/>
      <c r="D70" s="42"/>
      <c r="E70" s="22"/>
    </row>
    <row r="71" spans="1:5" ht="20.25" customHeight="1">
      <c r="A71" s="42"/>
      <c r="B71" s="42"/>
      <c r="C71" s="42"/>
      <c r="D71" s="42"/>
      <c r="E71" s="22"/>
    </row>
    <row r="72" spans="1:5" ht="20.25" customHeight="1">
      <c r="A72" s="42"/>
      <c r="B72" s="42"/>
      <c r="C72" s="42"/>
      <c r="D72" s="42"/>
      <c r="E72" s="22"/>
    </row>
    <row r="73" spans="1:5" ht="20.25" customHeight="1">
      <c r="A73" s="42"/>
      <c r="B73" s="42"/>
      <c r="C73" s="42"/>
      <c r="D73" s="42"/>
      <c r="E73" s="22"/>
    </row>
    <row r="74" spans="1:5" ht="20.25" customHeight="1">
      <c r="A74" s="42"/>
      <c r="B74" s="42"/>
      <c r="C74" s="42"/>
      <c r="D74" s="42"/>
      <c r="E74" s="22"/>
    </row>
    <row r="75" spans="1:5" ht="20.25" customHeight="1">
      <c r="A75" s="42"/>
      <c r="B75" s="42"/>
      <c r="C75" s="42"/>
      <c r="D75" s="42"/>
      <c r="E75" s="22"/>
    </row>
    <row r="76" spans="1:5" ht="20.25" customHeight="1">
      <c r="A76" s="42"/>
      <c r="B76" s="42"/>
      <c r="C76" s="42"/>
      <c r="D76" s="42"/>
      <c r="E76" s="22"/>
    </row>
    <row r="77" spans="1:5" ht="20.25" customHeight="1">
      <c r="A77" s="42"/>
      <c r="B77" s="42"/>
      <c r="C77" s="42"/>
      <c r="D77" s="42"/>
      <c r="E77" s="22"/>
    </row>
    <row r="78" spans="1:5" ht="20.25" customHeight="1">
      <c r="A78" s="42"/>
      <c r="B78" s="42"/>
      <c r="C78" s="42"/>
      <c r="D78" s="42"/>
      <c r="E78" s="22"/>
    </row>
    <row r="79" spans="1:5" ht="20.25" customHeight="1">
      <c r="A79" s="42"/>
      <c r="B79" s="42"/>
      <c r="C79" s="42"/>
      <c r="D79" s="42"/>
      <c r="E79" s="22"/>
    </row>
  </sheetData>
  <hyperlinks>
    <hyperlink ref="D2" r:id="rId1" xr:uid="{00000000-0004-0000-0C00-000000000000}"/>
    <hyperlink ref="D3" r:id="rId2" xr:uid="{00000000-0004-0000-0C00-000001000000}"/>
    <hyperlink ref="D4" r:id="rId3" xr:uid="{00000000-0004-0000-0C00-000002000000}"/>
    <hyperlink ref="D5" r:id="rId4" xr:uid="{00000000-0004-0000-0C00-000003000000}"/>
    <hyperlink ref="D6" r:id="rId5" xr:uid="{00000000-0004-0000-0C00-000004000000}"/>
    <hyperlink ref="D7" r:id="rId6" xr:uid="{00000000-0004-0000-0C00-000005000000}"/>
  </hyperlinks>
  <pageMargins left="0.7" right="0.7" top="0.75" bottom="0.75" header="0.3" footer="0.3"/>
  <tableParts count="1"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9"/>
  <sheetViews>
    <sheetView topLeftCell="F1" workbookViewId="0">
      <selection activeCell="E26" sqref="E26"/>
    </sheetView>
  </sheetViews>
  <sheetFormatPr defaultRowHeight="15"/>
  <cols>
    <col min="1" max="1" width="13" customWidth="1"/>
    <col min="2" max="2" width="18.7109375" style="42" customWidth="1"/>
    <col min="3" max="3" width="20.5703125" style="22" bestFit="1" customWidth="1"/>
    <col min="4" max="4" width="13.28515625" style="22" customWidth="1"/>
    <col min="5" max="5" width="22.28515625" customWidth="1"/>
    <col min="6" max="6" width="22" customWidth="1"/>
    <col min="7" max="7" width="20.7109375" style="60" customWidth="1"/>
    <col min="8" max="8" width="42.85546875" style="22" customWidth="1"/>
  </cols>
  <sheetData>
    <row r="1" spans="1:8">
      <c r="A1" s="66" t="s">
        <v>3800</v>
      </c>
      <c r="B1" s="66" t="s">
        <v>2</v>
      </c>
      <c r="C1" s="66" t="s">
        <v>3</v>
      </c>
      <c r="D1" s="66" t="s">
        <v>4</v>
      </c>
      <c r="E1" s="66" t="s">
        <v>5</v>
      </c>
      <c r="F1" s="67" t="s">
        <v>6</v>
      </c>
      <c r="G1" s="66" t="s">
        <v>7</v>
      </c>
      <c r="H1" s="66" t="s">
        <v>8</v>
      </c>
    </row>
    <row r="2" spans="1:8" s="60" customFormat="1" ht="82.5" customHeight="1">
      <c r="B2" s="58" t="s">
        <v>119</v>
      </c>
      <c r="C2" s="58" t="s">
        <v>120</v>
      </c>
      <c r="D2" s="58" t="s">
        <v>121</v>
      </c>
      <c r="E2" s="21" t="s">
        <v>122</v>
      </c>
      <c r="F2" s="59" t="s">
        <v>3801</v>
      </c>
      <c r="G2" s="21" t="s">
        <v>3802</v>
      </c>
      <c r="H2" s="22" t="s">
        <v>18</v>
      </c>
    </row>
    <row r="3" spans="1:8" ht="144.75" customHeight="1">
      <c r="A3" s="74">
        <v>46071</v>
      </c>
      <c r="B3" s="68" t="s">
        <v>78</v>
      </c>
      <c r="C3" s="68" t="s">
        <v>83</v>
      </c>
      <c r="D3" s="68" t="s">
        <v>84</v>
      </c>
      <c r="E3" s="68" t="s">
        <v>85</v>
      </c>
      <c r="F3" s="69" t="s">
        <v>3803</v>
      </c>
      <c r="G3" s="68" t="s">
        <v>3804</v>
      </c>
      <c r="H3" s="22" t="s">
        <v>18</v>
      </c>
    </row>
    <row r="4" spans="1:8" ht="130.5" customHeight="1">
      <c r="B4" s="64" t="s">
        <v>186</v>
      </c>
      <c r="C4" s="64" t="s">
        <v>187</v>
      </c>
      <c r="D4" s="64" t="s">
        <v>188</v>
      </c>
      <c r="E4" s="64" t="s">
        <v>189</v>
      </c>
      <c r="F4" s="65" t="s">
        <v>3805</v>
      </c>
      <c r="G4" s="64" t="s">
        <v>3806</v>
      </c>
      <c r="H4" s="22" t="s">
        <v>18</v>
      </c>
    </row>
    <row r="5" spans="1:8" s="22" customFormat="1" ht="130.5" customHeight="1">
      <c r="B5" s="22" t="s">
        <v>262</v>
      </c>
      <c r="C5" s="22" t="s">
        <v>263</v>
      </c>
      <c r="D5" s="22" t="s">
        <v>126</v>
      </c>
      <c r="E5" s="22" t="s">
        <v>264</v>
      </c>
      <c r="F5" s="22" t="s">
        <v>3807</v>
      </c>
      <c r="G5" s="22" t="s">
        <v>3808</v>
      </c>
      <c r="H5" s="22" t="s">
        <v>18</v>
      </c>
    </row>
    <row r="6" spans="1:8" ht="130.5" customHeight="1">
      <c r="B6" s="22" t="s">
        <v>328</v>
      </c>
      <c r="C6" s="22" t="s">
        <v>334</v>
      </c>
      <c r="D6" s="22" t="s">
        <v>335</v>
      </c>
      <c r="E6" s="60" t="s">
        <v>336</v>
      </c>
      <c r="F6" s="60" t="s">
        <v>3809</v>
      </c>
      <c r="G6" s="60" t="s">
        <v>3810</v>
      </c>
      <c r="H6" s="22" t="s">
        <v>18</v>
      </c>
    </row>
    <row r="7" spans="1:8" ht="144.75" customHeight="1">
      <c r="B7" s="22" t="s">
        <v>476</v>
      </c>
      <c r="C7" s="22" t="s">
        <v>482</v>
      </c>
      <c r="D7" s="22" t="s">
        <v>126</v>
      </c>
      <c r="E7" s="22" t="s">
        <v>483</v>
      </c>
      <c r="F7" s="42" t="s">
        <v>3811</v>
      </c>
      <c r="G7" s="22" t="s">
        <v>3812</v>
      </c>
      <c r="H7" s="22" t="s">
        <v>18</v>
      </c>
    </row>
    <row r="8" spans="1:8" ht="43.5" customHeight="1">
      <c r="B8" s="22" t="s">
        <v>547</v>
      </c>
      <c r="C8" s="22" t="s">
        <v>555</v>
      </c>
      <c r="D8" s="22" t="s">
        <v>319</v>
      </c>
      <c r="E8" s="22" t="s">
        <v>556</v>
      </c>
      <c r="F8" t="s">
        <v>3813</v>
      </c>
      <c r="G8" s="22" t="s">
        <v>3814</v>
      </c>
      <c r="H8" s="22" t="s">
        <v>18</v>
      </c>
    </row>
    <row r="9" spans="1:8" ht="43.5" customHeight="1">
      <c r="B9" s="22" t="s">
        <v>1418</v>
      </c>
      <c r="C9" s="22" t="s">
        <v>1422</v>
      </c>
      <c r="D9" s="22" t="s">
        <v>802</v>
      </c>
      <c r="E9" s="22" t="s">
        <v>1423</v>
      </c>
      <c r="F9" t="s">
        <v>3815</v>
      </c>
      <c r="H9" s="71" t="s">
        <v>18</v>
      </c>
    </row>
    <row r="10" spans="1:8" ht="57.75" customHeight="1">
      <c r="B10" s="22" t="s">
        <v>3816</v>
      </c>
      <c r="C10" s="22" t="s">
        <v>1710</v>
      </c>
      <c r="D10" s="22" t="s">
        <v>1711</v>
      </c>
      <c r="E10" s="22"/>
      <c r="F10" s="42" t="s">
        <v>3817</v>
      </c>
      <c r="G10" s="22" t="s">
        <v>3818</v>
      </c>
      <c r="H10" s="22" t="s">
        <v>18</v>
      </c>
    </row>
    <row r="11" spans="1:8" ht="57.75" customHeight="1">
      <c r="B11" s="42" t="s">
        <v>3099</v>
      </c>
      <c r="C11" s="22" t="s">
        <v>1770</v>
      </c>
      <c r="D11" s="22" t="s">
        <v>1771</v>
      </c>
      <c r="F11" s="42" t="s">
        <v>3819</v>
      </c>
      <c r="G11" s="60" t="s">
        <v>3820</v>
      </c>
      <c r="H11" s="22" t="s">
        <v>18</v>
      </c>
    </row>
    <row r="12" spans="1:8" ht="57.75" customHeight="1">
      <c r="A12" s="73">
        <v>46076</v>
      </c>
      <c r="B12" s="22" t="s">
        <v>12</v>
      </c>
      <c r="C12" s="22" t="s">
        <v>24</v>
      </c>
      <c r="D12" s="22" t="s">
        <v>25</v>
      </c>
      <c r="E12" s="22" t="s">
        <v>26</v>
      </c>
      <c r="F12" t="s">
        <v>3821</v>
      </c>
      <c r="G12" s="22" t="s">
        <v>3822</v>
      </c>
      <c r="H12" s="22" t="s">
        <v>18</v>
      </c>
    </row>
    <row r="13" spans="1:8" ht="144.75" customHeight="1">
      <c r="A13" s="73">
        <v>46076</v>
      </c>
      <c r="B13" s="42" t="s">
        <v>78</v>
      </c>
      <c r="C13" s="22" t="s">
        <v>83</v>
      </c>
      <c r="D13" s="22" t="s">
        <v>84</v>
      </c>
      <c r="E13" t="s">
        <v>85</v>
      </c>
      <c r="F13" t="s">
        <v>3823</v>
      </c>
      <c r="G13" s="60" t="s">
        <v>3824</v>
      </c>
      <c r="H13" s="22" t="s">
        <v>18</v>
      </c>
    </row>
    <row r="14" spans="1:8" ht="126" customHeight="1">
      <c r="A14" s="73">
        <v>46076</v>
      </c>
      <c r="B14" s="42" t="s">
        <v>166</v>
      </c>
      <c r="C14" s="22" t="s">
        <v>167</v>
      </c>
      <c r="D14" s="22" t="s">
        <v>168</v>
      </c>
      <c r="E14" t="s">
        <v>169</v>
      </c>
      <c r="F14" t="s">
        <v>3825</v>
      </c>
      <c r="G14" s="60" t="s">
        <v>3826</v>
      </c>
      <c r="H14" s="22" t="s">
        <v>18</v>
      </c>
    </row>
    <row r="15" spans="1:8" ht="159" customHeight="1">
      <c r="A15" s="73">
        <v>46076</v>
      </c>
      <c r="B15" s="42" t="s">
        <v>222</v>
      </c>
      <c r="C15" s="22" t="s">
        <v>228</v>
      </c>
      <c r="D15" s="22" t="s">
        <v>229</v>
      </c>
      <c r="E15" t="s">
        <v>230</v>
      </c>
      <c r="F15" t="s">
        <v>3827</v>
      </c>
      <c r="G15" s="60" t="s">
        <v>3828</v>
      </c>
      <c r="H15" s="22" t="s">
        <v>18</v>
      </c>
    </row>
    <row r="16" spans="1:8" ht="57.75" customHeight="1">
      <c r="A16" s="73">
        <v>46076</v>
      </c>
      <c r="B16" s="42" t="s">
        <v>730</v>
      </c>
      <c r="C16" s="22" t="s">
        <v>2891</v>
      </c>
      <c r="D16" s="22" t="s">
        <v>1201</v>
      </c>
      <c r="E16" t="s">
        <v>3829</v>
      </c>
      <c r="F16" t="s">
        <v>3830</v>
      </c>
      <c r="G16" s="60" t="s">
        <v>3831</v>
      </c>
      <c r="H16" s="22" t="s">
        <v>18</v>
      </c>
    </row>
    <row r="17" spans="1:8" ht="57.75" customHeight="1">
      <c r="A17" s="73">
        <v>46076</v>
      </c>
      <c r="B17" s="42" t="s">
        <v>730</v>
      </c>
      <c r="C17" s="22" t="s">
        <v>2887</v>
      </c>
      <c r="D17" s="22" t="s">
        <v>62</v>
      </c>
      <c r="E17" t="s">
        <v>3832</v>
      </c>
      <c r="F17" t="s">
        <v>3833</v>
      </c>
      <c r="G17" s="22" t="s">
        <v>3834</v>
      </c>
      <c r="H17" s="22" t="s">
        <v>18</v>
      </c>
    </row>
    <row r="18" spans="1:8" ht="144.75" customHeight="1">
      <c r="A18" s="73">
        <v>46076</v>
      </c>
      <c r="B18" s="42" t="s">
        <v>671</v>
      </c>
      <c r="C18" s="22" t="s">
        <v>672</v>
      </c>
      <c r="D18" s="22" t="s">
        <v>673</v>
      </c>
      <c r="E18" s="51" t="s">
        <v>674</v>
      </c>
      <c r="F18" t="s">
        <v>3835</v>
      </c>
      <c r="G18" s="60" t="s">
        <v>3836</v>
      </c>
      <c r="H18" s="22" t="s">
        <v>18</v>
      </c>
    </row>
    <row r="19" spans="1:8" ht="57.75" customHeight="1">
      <c r="A19" s="73">
        <v>46076</v>
      </c>
      <c r="B19" s="42" t="s">
        <v>671</v>
      </c>
      <c r="C19" s="22" t="s">
        <v>3837</v>
      </c>
      <c r="D19" s="22" t="s">
        <v>3838</v>
      </c>
      <c r="E19" s="20" t="s">
        <v>3839</v>
      </c>
      <c r="F19" t="s">
        <v>3840</v>
      </c>
      <c r="G19" s="50" t="s">
        <v>3841</v>
      </c>
      <c r="H19" s="22" t="s">
        <v>18</v>
      </c>
    </row>
    <row r="20" spans="1:8" ht="43.5" customHeight="1">
      <c r="A20" s="73">
        <v>46076</v>
      </c>
      <c r="B20" s="42" t="s">
        <v>758</v>
      </c>
      <c r="C20" s="22" t="s">
        <v>1448</v>
      </c>
      <c r="D20" s="22" t="s">
        <v>1449</v>
      </c>
      <c r="F20" t="s">
        <v>3842</v>
      </c>
      <c r="G20" s="60" t="s">
        <v>3843</v>
      </c>
      <c r="H20" s="22" t="s">
        <v>18</v>
      </c>
    </row>
    <row r="21" spans="1:8" ht="57.75" customHeight="1">
      <c r="A21" s="73">
        <v>46076</v>
      </c>
      <c r="B21" s="42" t="s">
        <v>3522</v>
      </c>
      <c r="C21" s="22" t="s">
        <v>1453</v>
      </c>
      <c r="D21" s="22" t="s">
        <v>1454</v>
      </c>
      <c r="E21" t="s">
        <v>3844</v>
      </c>
      <c r="F21" t="s">
        <v>3845</v>
      </c>
      <c r="G21" s="22" t="s">
        <v>3846</v>
      </c>
      <c r="H21" s="22" t="s">
        <v>18</v>
      </c>
    </row>
    <row r="22" spans="1:8" ht="57.75" customHeight="1">
      <c r="A22" s="73">
        <v>46076</v>
      </c>
      <c r="B22" s="42" t="s">
        <v>206</v>
      </c>
      <c r="C22" s="22" t="s">
        <v>1473</v>
      </c>
      <c r="D22" s="22" t="s">
        <v>1124</v>
      </c>
      <c r="E22" t="s">
        <v>3847</v>
      </c>
      <c r="F22" t="s">
        <v>3848</v>
      </c>
      <c r="G22" s="22" t="s">
        <v>3849</v>
      </c>
      <c r="H22" s="22" t="s">
        <v>18</v>
      </c>
    </row>
    <row r="23" spans="1:8" ht="57.75" customHeight="1">
      <c r="A23" s="73">
        <v>46076</v>
      </c>
      <c r="B23" s="42" t="s">
        <v>3525</v>
      </c>
      <c r="C23" s="22" t="s">
        <v>1697</v>
      </c>
      <c r="D23" s="22" t="s">
        <v>1698</v>
      </c>
      <c r="E23" t="s">
        <v>3850</v>
      </c>
      <c r="F23" t="s">
        <v>3851</v>
      </c>
      <c r="G23" s="60" t="s">
        <v>3852</v>
      </c>
      <c r="H23" s="22" t="s">
        <v>18</v>
      </c>
    </row>
    <row r="24" spans="1:8" ht="57.75" customHeight="1">
      <c r="A24" s="73">
        <v>46076</v>
      </c>
      <c r="B24" s="42" t="s">
        <v>3528</v>
      </c>
      <c r="C24" s="22" t="s">
        <v>1830</v>
      </c>
      <c r="D24" s="22" t="s">
        <v>456</v>
      </c>
      <c r="E24" t="s">
        <v>3853</v>
      </c>
      <c r="F24" t="s">
        <v>3854</v>
      </c>
      <c r="G24" s="22" t="s">
        <v>3855</v>
      </c>
      <c r="H24" s="22" t="s">
        <v>18</v>
      </c>
    </row>
    <row r="25" spans="1:8" ht="57.75" customHeight="1">
      <c r="A25" s="73">
        <v>46076</v>
      </c>
      <c r="B25" s="22" t="s">
        <v>3530</v>
      </c>
      <c r="C25" s="22" t="s">
        <v>1919</v>
      </c>
      <c r="D25" s="22" t="s">
        <v>1920</v>
      </c>
      <c r="F25" t="s">
        <v>3856</v>
      </c>
      <c r="G25" s="22" t="s">
        <v>3857</v>
      </c>
      <c r="H25" s="22" t="s">
        <v>18</v>
      </c>
    </row>
    <row r="26" spans="1:8" ht="57.75" customHeight="1">
      <c r="A26" s="73">
        <v>46076</v>
      </c>
      <c r="B26" s="42" t="s">
        <v>2522</v>
      </c>
      <c r="C26" s="22" t="s">
        <v>3043</v>
      </c>
      <c r="D26" s="22" t="s">
        <v>3044</v>
      </c>
      <c r="E26" t="s">
        <v>3858</v>
      </c>
      <c r="F26" t="s">
        <v>3859</v>
      </c>
      <c r="G26" s="22" t="s">
        <v>3860</v>
      </c>
      <c r="H26" s="22" t="s">
        <v>18</v>
      </c>
    </row>
    <row r="27" spans="1:8" ht="57.75" customHeight="1">
      <c r="A27" s="73">
        <v>46076</v>
      </c>
      <c r="B27" s="42" t="s">
        <v>2522</v>
      </c>
      <c r="C27" s="22" t="s">
        <v>3049</v>
      </c>
      <c r="D27" s="22" t="s">
        <v>178</v>
      </c>
      <c r="F27" t="s">
        <v>3861</v>
      </c>
      <c r="G27" s="22" t="s">
        <v>3862</v>
      </c>
      <c r="H27" s="22" t="s">
        <v>18</v>
      </c>
    </row>
    <row r="28" spans="1:8" ht="57.75" customHeight="1">
      <c r="A28" s="73">
        <v>46076</v>
      </c>
      <c r="B28" s="42" t="s">
        <v>3570</v>
      </c>
      <c r="C28" s="22" t="s">
        <v>3053</v>
      </c>
      <c r="D28" s="22" t="s">
        <v>62</v>
      </c>
      <c r="F28" t="s">
        <v>3863</v>
      </c>
      <c r="G28" s="22" t="s">
        <v>3864</v>
      </c>
      <c r="H28" s="22" t="s">
        <v>18</v>
      </c>
    </row>
    <row r="29" spans="1:8" ht="57.75" customHeight="1">
      <c r="A29" s="73">
        <v>46076</v>
      </c>
      <c r="B29" s="42" t="s">
        <v>3570</v>
      </c>
      <c r="C29" s="22" t="s">
        <v>3057</v>
      </c>
      <c r="D29" s="22" t="s">
        <v>3058</v>
      </c>
      <c r="E29" s="20" t="s">
        <v>3865</v>
      </c>
      <c r="F29" t="s">
        <v>3866</v>
      </c>
      <c r="G29" s="22" t="s">
        <v>3867</v>
      </c>
      <c r="H29" s="22" t="s">
        <v>18</v>
      </c>
    </row>
    <row r="30" spans="1:8" ht="57.75" customHeight="1">
      <c r="A30" s="73">
        <v>46077</v>
      </c>
      <c r="B30" s="42" t="s">
        <v>1105</v>
      </c>
      <c r="C30" s="22" t="s">
        <v>1110</v>
      </c>
      <c r="D30" s="22" t="s">
        <v>1101</v>
      </c>
      <c r="E30" t="s">
        <v>1111</v>
      </c>
      <c r="F30" t="s">
        <v>3868</v>
      </c>
      <c r="G30" s="50" t="s">
        <v>3869</v>
      </c>
      <c r="H30" s="22" t="s">
        <v>18</v>
      </c>
    </row>
    <row r="31" spans="1:8" ht="57.75" customHeight="1">
      <c r="B31" s="42" t="s">
        <v>3567</v>
      </c>
      <c r="C31" s="22" t="s">
        <v>2877</v>
      </c>
      <c r="D31" s="22" t="s">
        <v>188</v>
      </c>
      <c r="E31" t="s">
        <v>3870</v>
      </c>
      <c r="F31" t="s">
        <v>3871</v>
      </c>
      <c r="G31" s="60" t="s">
        <v>3872</v>
      </c>
      <c r="H31" s="22" t="s">
        <v>18</v>
      </c>
    </row>
    <row r="32" spans="1:8" ht="57.75" customHeight="1">
      <c r="B32" s="42" t="s">
        <v>2356</v>
      </c>
      <c r="C32" s="22" t="s">
        <v>3064</v>
      </c>
      <c r="D32" s="22" t="s">
        <v>62</v>
      </c>
      <c r="E32" t="s">
        <v>3873</v>
      </c>
      <c r="F32" t="s">
        <v>3874</v>
      </c>
      <c r="G32" s="60" t="s">
        <v>3875</v>
      </c>
      <c r="H32" s="22" t="s">
        <v>18</v>
      </c>
    </row>
    <row r="33" spans="1:8" ht="57.75" customHeight="1">
      <c r="B33" s="42" t="s">
        <v>2356</v>
      </c>
      <c r="C33" s="22" t="s">
        <v>3068</v>
      </c>
      <c r="D33" s="22" t="s">
        <v>3069</v>
      </c>
      <c r="F33" t="s">
        <v>3876</v>
      </c>
      <c r="G33" s="50" t="s">
        <v>3877</v>
      </c>
      <c r="H33" s="22" t="s">
        <v>18</v>
      </c>
    </row>
    <row r="34" spans="1:8" ht="57.75" customHeight="1">
      <c r="B34" s="42" t="s">
        <v>222</v>
      </c>
      <c r="C34" s="22" t="s">
        <v>3073</v>
      </c>
      <c r="D34" s="22" t="s">
        <v>1021</v>
      </c>
      <c r="F34" t="s">
        <v>3878</v>
      </c>
      <c r="G34" s="60" t="s">
        <v>3879</v>
      </c>
      <c r="H34" s="22" t="s">
        <v>18</v>
      </c>
    </row>
    <row r="35" spans="1:8" ht="57.75" customHeight="1">
      <c r="B35" s="42" t="s">
        <v>49</v>
      </c>
      <c r="C35" s="22" t="s">
        <v>3078</v>
      </c>
      <c r="D35" s="22" t="s">
        <v>2794</v>
      </c>
      <c r="F35" t="s">
        <v>3880</v>
      </c>
      <c r="G35" s="60" t="s">
        <v>3881</v>
      </c>
      <c r="H35" s="22" t="s">
        <v>18</v>
      </c>
    </row>
    <row r="36" spans="1:8" ht="57.75" customHeight="1">
      <c r="B36" s="42" t="s">
        <v>35</v>
      </c>
      <c r="C36" s="22" t="s">
        <v>3083</v>
      </c>
      <c r="D36" s="22" t="s">
        <v>62</v>
      </c>
      <c r="E36" t="s">
        <v>3882</v>
      </c>
      <c r="F36" t="s">
        <v>3883</v>
      </c>
      <c r="G36" s="60" t="s">
        <v>3884</v>
      </c>
      <c r="H36" s="22" t="s">
        <v>18</v>
      </c>
    </row>
    <row r="37" spans="1:8" ht="57.75" customHeight="1">
      <c r="B37" s="42" t="s">
        <v>1738</v>
      </c>
      <c r="C37" s="22" t="s">
        <v>3088</v>
      </c>
      <c r="D37" s="22" t="s">
        <v>3089</v>
      </c>
      <c r="E37" t="s">
        <v>3885</v>
      </c>
      <c r="F37" t="s">
        <v>3886</v>
      </c>
      <c r="G37" s="60" t="s">
        <v>3887</v>
      </c>
      <c r="H37" s="22" t="s">
        <v>18</v>
      </c>
    </row>
    <row r="38" spans="1:8" ht="57.75" customHeight="1">
      <c r="B38" s="42" t="s">
        <v>3536</v>
      </c>
      <c r="C38" s="22" t="s">
        <v>3093</v>
      </c>
      <c r="D38" s="22" t="s">
        <v>3094</v>
      </c>
      <c r="E38" t="s">
        <v>3888</v>
      </c>
      <c r="F38" t="s">
        <v>3889</v>
      </c>
      <c r="G38" s="60" t="s">
        <v>3890</v>
      </c>
      <c r="H38" s="22" t="s">
        <v>18</v>
      </c>
    </row>
    <row r="39" spans="1:8" ht="57.75" customHeight="1">
      <c r="B39" s="42" t="s">
        <v>3146</v>
      </c>
      <c r="C39" s="22" t="s">
        <v>3100</v>
      </c>
      <c r="D39" s="22" t="s">
        <v>3058</v>
      </c>
      <c r="F39" s="42" t="s">
        <v>3891</v>
      </c>
      <c r="G39" s="60" t="s">
        <v>3892</v>
      </c>
      <c r="H39" s="22" t="s">
        <v>18</v>
      </c>
    </row>
    <row r="40" spans="1:8" ht="29.25" customHeight="1">
      <c r="A40" s="74">
        <v>46078</v>
      </c>
      <c r="B40" s="42" t="s">
        <v>3893</v>
      </c>
      <c r="E40" s="20" t="s">
        <v>3894</v>
      </c>
      <c r="F40" s="76" t="s">
        <v>3895</v>
      </c>
      <c r="H40" s="22" t="s">
        <v>18</v>
      </c>
    </row>
    <row r="41" spans="1:8" ht="57.75" customHeight="1">
      <c r="A41" s="73">
        <v>46083</v>
      </c>
      <c r="B41" s="42" t="s">
        <v>2424</v>
      </c>
      <c r="C41" s="22" t="s">
        <v>3119</v>
      </c>
      <c r="D41" s="22" t="s">
        <v>493</v>
      </c>
      <c r="E41" t="s">
        <v>3896</v>
      </c>
      <c r="F41" t="s">
        <v>3897</v>
      </c>
      <c r="G41" s="60" t="s">
        <v>3898</v>
      </c>
      <c r="H41" s="22" t="s">
        <v>18</v>
      </c>
    </row>
    <row r="42" spans="1:8" ht="57.75" customHeight="1">
      <c r="B42" s="42" t="s">
        <v>35</v>
      </c>
      <c r="C42" s="22" t="s">
        <v>3083</v>
      </c>
      <c r="D42" s="22" t="s">
        <v>62</v>
      </c>
      <c r="E42" t="s">
        <v>3882</v>
      </c>
      <c r="F42" t="s">
        <v>3899</v>
      </c>
      <c r="G42" s="60" t="s">
        <v>3900</v>
      </c>
      <c r="H42" s="22" t="s">
        <v>18</v>
      </c>
    </row>
    <row r="43" spans="1:8" ht="57.75" customHeight="1">
      <c r="B43" s="22" t="s">
        <v>3570</v>
      </c>
      <c r="C43" s="22" t="s">
        <v>3057</v>
      </c>
      <c r="D43" s="22" t="s">
        <v>3058</v>
      </c>
      <c r="E43" t="s">
        <v>3865</v>
      </c>
      <c r="F43" t="s">
        <v>3901</v>
      </c>
      <c r="G43" s="60" t="s">
        <v>3902</v>
      </c>
      <c r="H43" s="22" t="s">
        <v>18</v>
      </c>
    </row>
    <row r="44" spans="1:8" ht="57.75" customHeight="1">
      <c r="B44" s="22" t="s">
        <v>3535</v>
      </c>
      <c r="C44" s="22" t="s">
        <v>3180</v>
      </c>
      <c r="D44" s="22" t="s">
        <v>84</v>
      </c>
      <c r="E44" t="s">
        <v>3903</v>
      </c>
      <c r="F44" t="s">
        <v>3904</v>
      </c>
      <c r="G44" s="60" t="s">
        <v>3905</v>
      </c>
      <c r="H44" s="22" t="s">
        <v>18</v>
      </c>
    </row>
    <row r="45" spans="1:8" ht="57.75" customHeight="1">
      <c r="B45" s="42" t="s">
        <v>2424</v>
      </c>
      <c r="C45" s="22" t="s">
        <v>3195</v>
      </c>
      <c r="D45" s="22" t="s">
        <v>1066</v>
      </c>
      <c r="E45" t="s">
        <v>3906</v>
      </c>
      <c r="G45" s="60" t="s">
        <v>3907</v>
      </c>
      <c r="H45" s="22" t="s">
        <v>18</v>
      </c>
    </row>
    <row r="46" spans="1:8" ht="72.75" customHeight="1">
      <c r="A46" s="74">
        <v>46084</v>
      </c>
      <c r="B46" s="42" t="s">
        <v>3029</v>
      </c>
      <c r="C46" s="22" t="s">
        <v>2209</v>
      </c>
      <c r="D46" s="22" t="s">
        <v>796</v>
      </c>
      <c r="F46" t="s">
        <v>3908</v>
      </c>
      <c r="G46" s="60" t="s">
        <v>3909</v>
      </c>
      <c r="H46" s="22" t="s">
        <v>18</v>
      </c>
    </row>
    <row r="47" spans="1:8" ht="72.75" customHeight="1">
      <c r="B47" s="22" t="s">
        <v>3527</v>
      </c>
      <c r="C47" s="22" t="s">
        <v>2262</v>
      </c>
      <c r="D47" s="22" t="s">
        <v>324</v>
      </c>
      <c r="E47" t="s">
        <v>3910</v>
      </c>
      <c r="F47" t="s">
        <v>3911</v>
      </c>
      <c r="G47" s="60" t="s">
        <v>3912</v>
      </c>
      <c r="H47" s="22" t="s">
        <v>18</v>
      </c>
    </row>
    <row r="48" spans="1:8" ht="43.5" customHeight="1">
      <c r="B48" s="42" t="s">
        <v>3546</v>
      </c>
      <c r="C48" s="22" t="s">
        <v>2492</v>
      </c>
      <c r="D48" s="22" t="s">
        <v>627</v>
      </c>
      <c r="E48" t="s">
        <v>3913</v>
      </c>
      <c r="F48" t="s">
        <v>3914</v>
      </c>
      <c r="G48" s="60" t="s">
        <v>3915</v>
      </c>
      <c r="H48" s="22" t="s">
        <v>18</v>
      </c>
    </row>
    <row r="49" spans="1:8" ht="57.75" customHeight="1">
      <c r="A49" s="74">
        <v>46092</v>
      </c>
      <c r="B49" s="22" t="s">
        <v>1825</v>
      </c>
      <c r="C49" s="42" t="s">
        <v>3337</v>
      </c>
      <c r="D49" s="42" t="s">
        <v>202</v>
      </c>
      <c r="E49" s="21" t="s">
        <v>3916</v>
      </c>
      <c r="F49" t="s">
        <v>3917</v>
      </c>
      <c r="G49" s="21" t="s">
        <v>3918</v>
      </c>
      <c r="H49" s="22" t="s">
        <v>18</v>
      </c>
    </row>
  </sheetData>
  <hyperlinks>
    <hyperlink ref="E2" r:id="rId1" xr:uid="{00000000-0004-0000-0D00-000000000000}"/>
    <hyperlink ref="G2" r:id="rId2" xr:uid="{00000000-0004-0000-0D00-000001000000}"/>
    <hyperlink ref="E3" r:id="rId3" xr:uid="{00000000-0004-0000-0D00-000002000000}"/>
    <hyperlink ref="G3" r:id="rId4" xr:uid="{00000000-0004-0000-0D00-000003000000}"/>
    <hyperlink ref="E4" r:id="rId5" xr:uid="{00000000-0004-0000-0D00-000004000000}"/>
    <hyperlink ref="G4" r:id="rId6" xr:uid="{00000000-0004-0000-0D00-000005000000}"/>
    <hyperlink ref="E7" r:id="rId7" xr:uid="{00000000-0004-0000-0D00-000006000000}"/>
    <hyperlink ref="G7" r:id="rId8" xr:uid="{00000000-0004-0000-0D00-000007000000}"/>
    <hyperlink ref="G8" r:id="rId9" xr:uid="{00000000-0004-0000-0D00-000008000000}"/>
    <hyperlink ref="G10" r:id="rId10" xr:uid="{00000000-0004-0000-0D00-000009000000}"/>
    <hyperlink ref="E12" r:id="rId11" xr:uid="{00000000-0004-0000-0D00-00000A000000}"/>
    <hyperlink ref="G12" r:id="rId12" xr:uid="{00000000-0004-0000-0D00-00000B000000}"/>
    <hyperlink ref="E19" r:id="rId13" xr:uid="{00000000-0004-0000-0D00-00000C000000}"/>
    <hyperlink ref="G19" r:id="rId14" xr:uid="{00000000-0004-0000-0D00-00000D000000}"/>
    <hyperlink ref="E29" r:id="rId15" xr:uid="{00000000-0004-0000-0D00-00000E000000}"/>
    <hyperlink ref="G30" r:id="rId16" xr:uid="{00000000-0004-0000-0D00-00000F000000}"/>
    <hyperlink ref="G33" r:id="rId17" xr:uid="{00000000-0004-0000-0D00-000010000000}"/>
    <hyperlink ref="E40" r:id="rId18" xr:uid="{00000000-0004-0000-0D00-000011000000}"/>
    <hyperlink ref="E49" r:id="rId19" xr:uid="{00000000-0004-0000-0D00-000012000000}"/>
    <hyperlink ref="G49" r:id="rId20" xr:uid="{00000000-0004-0000-0D00-000013000000}"/>
  </hyperlinks>
  <pageMargins left="0.7" right="0.7" top="0.75" bottom="0.75" header="0.3" footer="0.3"/>
  <tableParts count="1">
    <tablePart r:id="rId2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5" tint="-0.249977111117893"/>
  </sheetPr>
  <dimension ref="A1:J53"/>
  <sheetViews>
    <sheetView topLeftCell="A32" workbookViewId="0">
      <selection activeCell="B44" sqref="B44"/>
    </sheetView>
  </sheetViews>
  <sheetFormatPr defaultColWidth="14.42578125" defaultRowHeight="15" customHeight="1"/>
  <cols>
    <col min="1" max="1" width="5.42578125" customWidth="1"/>
    <col min="2" max="2" width="32.42578125" customWidth="1"/>
    <col min="3" max="3" width="14" customWidth="1"/>
    <col min="5" max="5" width="13.42578125" customWidth="1"/>
    <col min="6" max="6" width="14.42578125" customWidth="1"/>
    <col min="7" max="7" width="15" customWidth="1"/>
    <col min="8" max="8" width="21.5703125" customWidth="1"/>
    <col min="9" max="9" width="25.140625" customWidth="1"/>
  </cols>
  <sheetData>
    <row r="1" spans="1:10" ht="15" customHeight="1">
      <c r="A1" s="135" t="s">
        <v>3919</v>
      </c>
      <c r="B1" s="132"/>
      <c r="C1" s="132"/>
      <c r="D1" s="132"/>
      <c r="E1" s="132"/>
      <c r="F1" s="132"/>
      <c r="G1" s="132"/>
      <c r="H1" s="132"/>
      <c r="I1" s="132"/>
    </row>
    <row r="2" spans="1:10" ht="15" customHeight="1">
      <c r="A2" s="136" t="s">
        <v>3920</v>
      </c>
      <c r="B2" s="132"/>
      <c r="C2" s="132"/>
      <c r="D2" s="132"/>
      <c r="E2" s="132"/>
      <c r="F2" s="132"/>
      <c r="G2" s="132"/>
      <c r="H2" s="132"/>
      <c r="I2" s="132"/>
    </row>
    <row r="3" spans="1:10" ht="15" customHeight="1">
      <c r="A3" s="113" t="s">
        <v>3921</v>
      </c>
      <c r="B3" s="113" t="s">
        <v>2</v>
      </c>
      <c r="C3" s="113" t="s">
        <v>3426</v>
      </c>
      <c r="D3" s="113" t="s">
        <v>3431</v>
      </c>
      <c r="E3" s="113" t="s">
        <v>3922</v>
      </c>
      <c r="F3" s="113" t="s">
        <v>3430</v>
      </c>
      <c r="G3" s="113" t="s">
        <v>3923</v>
      </c>
      <c r="H3" s="113" t="s">
        <v>3924</v>
      </c>
      <c r="I3" s="113" t="s">
        <v>3925</v>
      </c>
    </row>
    <row r="4" spans="1:10" ht="15" customHeight="1">
      <c r="A4" s="114">
        <v>1</v>
      </c>
      <c r="B4" s="115" t="s">
        <v>3926</v>
      </c>
      <c r="C4" s="116" t="s">
        <v>3481</v>
      </c>
      <c r="D4" s="116" t="s">
        <v>3927</v>
      </c>
      <c r="E4" s="117" t="s">
        <v>3694</v>
      </c>
      <c r="F4" s="116" t="s">
        <v>3928</v>
      </c>
      <c r="G4" s="116" t="s">
        <v>3929</v>
      </c>
      <c r="H4" s="116" t="s">
        <v>3930</v>
      </c>
      <c r="I4" s="116" t="s">
        <v>3931</v>
      </c>
      <c r="J4" t="s">
        <v>3932</v>
      </c>
    </row>
    <row r="5" spans="1:10" ht="15" customHeight="1">
      <c r="A5" s="118">
        <v>2</v>
      </c>
      <c r="B5" s="119" t="s">
        <v>574</v>
      </c>
      <c r="C5" s="120" t="s">
        <v>3447</v>
      </c>
      <c r="D5" s="120" t="s">
        <v>3933</v>
      </c>
      <c r="E5" s="117" t="s">
        <v>3934</v>
      </c>
      <c r="F5" s="120" t="s">
        <v>3935</v>
      </c>
      <c r="G5" s="120" t="s">
        <v>3936</v>
      </c>
      <c r="H5" s="120" t="s">
        <v>3930</v>
      </c>
      <c r="I5" s="120" t="s">
        <v>3931</v>
      </c>
      <c r="J5" t="s">
        <v>3932</v>
      </c>
    </row>
    <row r="6" spans="1:10" ht="15" customHeight="1">
      <c r="A6" s="114">
        <v>3</v>
      </c>
      <c r="B6" s="115" t="s">
        <v>376</v>
      </c>
      <c r="C6" s="116" t="s">
        <v>3447</v>
      </c>
      <c r="D6" s="116" t="s">
        <v>3927</v>
      </c>
      <c r="E6" s="117" t="s">
        <v>3692</v>
      </c>
      <c r="F6" s="116" t="s">
        <v>3937</v>
      </c>
      <c r="G6" s="116" t="s">
        <v>3938</v>
      </c>
      <c r="H6" s="116" t="s">
        <v>3930</v>
      </c>
      <c r="I6" s="116" t="s">
        <v>3931</v>
      </c>
      <c r="J6" t="s">
        <v>3932</v>
      </c>
    </row>
    <row r="7" spans="1:10" ht="15" customHeight="1">
      <c r="A7" s="118">
        <v>4</v>
      </c>
      <c r="B7" s="119" t="s">
        <v>3538</v>
      </c>
      <c r="C7" s="120" t="s">
        <v>3447</v>
      </c>
      <c r="D7" s="120" t="s">
        <v>3629</v>
      </c>
      <c r="E7" s="117" t="s">
        <v>3694</v>
      </c>
      <c r="F7" s="120" t="s">
        <v>3928</v>
      </c>
      <c r="G7" s="120" t="s">
        <v>3939</v>
      </c>
      <c r="H7" s="120" t="s">
        <v>3930</v>
      </c>
      <c r="I7" s="120" t="s">
        <v>3931</v>
      </c>
      <c r="J7" t="s">
        <v>3940</v>
      </c>
    </row>
    <row r="8" spans="1:10" ht="15" customHeight="1">
      <c r="A8" s="114">
        <v>5</v>
      </c>
      <c r="B8" s="115" t="s">
        <v>3576</v>
      </c>
      <c r="C8" s="116" t="s">
        <v>3453</v>
      </c>
      <c r="D8" s="116" t="s">
        <v>3933</v>
      </c>
      <c r="E8" s="117" t="s">
        <v>3941</v>
      </c>
      <c r="F8" s="116" t="s">
        <v>3942</v>
      </c>
      <c r="G8" s="116" t="s">
        <v>3943</v>
      </c>
      <c r="H8" s="116" t="s">
        <v>3930</v>
      </c>
      <c r="I8" s="116" t="s">
        <v>3931</v>
      </c>
      <c r="J8" t="s">
        <v>3944</v>
      </c>
    </row>
    <row r="9" spans="1:10" ht="15" customHeight="1">
      <c r="A9" s="118">
        <v>6</v>
      </c>
      <c r="B9" s="119" t="s">
        <v>1477</v>
      </c>
      <c r="C9" s="120" t="s">
        <v>3945</v>
      </c>
      <c r="D9" s="120" t="s">
        <v>3933</v>
      </c>
      <c r="E9" s="117" t="s">
        <v>3694</v>
      </c>
      <c r="F9" s="120" t="s">
        <v>3942</v>
      </c>
      <c r="G9" s="120" t="s">
        <v>3946</v>
      </c>
      <c r="H9" s="120" t="s">
        <v>3930</v>
      </c>
      <c r="I9" s="120" t="s">
        <v>3931</v>
      </c>
      <c r="J9" t="s">
        <v>3947</v>
      </c>
    </row>
    <row r="10" spans="1:10" ht="15" customHeight="1">
      <c r="A10" s="114">
        <v>7</v>
      </c>
      <c r="B10" s="115" t="s">
        <v>465</v>
      </c>
      <c r="C10" s="116" t="s">
        <v>3948</v>
      </c>
      <c r="D10" s="116" t="s">
        <v>3933</v>
      </c>
      <c r="E10" s="117" t="s">
        <v>3688</v>
      </c>
      <c r="F10" s="116" t="s">
        <v>3949</v>
      </c>
      <c r="G10" s="116" t="s">
        <v>3950</v>
      </c>
      <c r="H10" s="116" t="s">
        <v>3930</v>
      </c>
      <c r="I10" s="116" t="s">
        <v>3931</v>
      </c>
      <c r="J10" t="s">
        <v>3947</v>
      </c>
    </row>
    <row r="11" spans="1:10" ht="15" customHeight="1">
      <c r="A11" s="118">
        <v>8</v>
      </c>
      <c r="B11" s="119" t="s">
        <v>689</v>
      </c>
      <c r="C11" s="120" t="s">
        <v>3945</v>
      </c>
      <c r="D11" s="120" t="s">
        <v>3951</v>
      </c>
      <c r="E11" s="121" t="s">
        <v>3690</v>
      </c>
      <c r="F11" s="120" t="s">
        <v>3928</v>
      </c>
      <c r="G11" s="120" t="s">
        <v>3952</v>
      </c>
      <c r="H11" s="120" t="s">
        <v>3930</v>
      </c>
      <c r="I11" s="120" t="s">
        <v>3931</v>
      </c>
      <c r="J11" t="s">
        <v>3932</v>
      </c>
    </row>
    <row r="12" spans="1:10" ht="15" customHeight="1">
      <c r="A12" s="114">
        <v>9</v>
      </c>
      <c r="B12" s="115" t="s">
        <v>1662</v>
      </c>
      <c r="C12" s="116" t="s">
        <v>3674</v>
      </c>
      <c r="D12" s="116" t="s">
        <v>3927</v>
      </c>
      <c r="E12" s="121" t="s">
        <v>3694</v>
      </c>
      <c r="F12" s="116" t="s">
        <v>3942</v>
      </c>
      <c r="G12" s="116" t="s">
        <v>3953</v>
      </c>
      <c r="H12" s="116" t="s">
        <v>3930</v>
      </c>
      <c r="I12" s="116" t="s">
        <v>3931</v>
      </c>
      <c r="J12" t="s">
        <v>3954</v>
      </c>
    </row>
    <row r="13" spans="1:10" ht="15" customHeight="1">
      <c r="A13" s="123">
        <v>10</v>
      </c>
      <c r="B13" s="124" t="s">
        <v>1496</v>
      </c>
      <c r="C13" s="125" t="s">
        <v>3945</v>
      </c>
      <c r="D13" s="125" t="s">
        <v>3927</v>
      </c>
      <c r="E13" s="126" t="s">
        <v>3690</v>
      </c>
      <c r="F13" s="125" t="s">
        <v>3955</v>
      </c>
      <c r="G13" s="125" t="s">
        <v>3956</v>
      </c>
      <c r="H13" s="125" t="s">
        <v>3930</v>
      </c>
      <c r="I13" s="125" t="s">
        <v>3931</v>
      </c>
    </row>
    <row r="14" spans="1:10" ht="15" customHeight="1">
      <c r="A14" s="114">
        <v>11</v>
      </c>
      <c r="B14" s="115" t="s">
        <v>1557</v>
      </c>
      <c r="C14" s="116" t="s">
        <v>3674</v>
      </c>
      <c r="D14" s="116" t="s">
        <v>3927</v>
      </c>
      <c r="E14" s="121" t="s">
        <v>3690</v>
      </c>
      <c r="F14" s="116" t="s">
        <v>3928</v>
      </c>
      <c r="G14" s="116" t="s">
        <v>3957</v>
      </c>
      <c r="H14" s="116" t="s">
        <v>3930</v>
      </c>
      <c r="I14" s="116" t="s">
        <v>3931</v>
      </c>
    </row>
    <row r="15" spans="1:10" ht="15" customHeight="1">
      <c r="A15" s="118">
        <v>12</v>
      </c>
      <c r="B15" s="119" t="s">
        <v>3958</v>
      </c>
      <c r="C15" s="120" t="s">
        <v>3683</v>
      </c>
      <c r="D15" s="120" t="s">
        <v>3951</v>
      </c>
      <c r="E15" s="121" t="s">
        <v>3690</v>
      </c>
      <c r="F15" s="120" t="s">
        <v>3928</v>
      </c>
      <c r="G15" s="120" t="s">
        <v>3959</v>
      </c>
      <c r="H15" s="120" t="s">
        <v>3930</v>
      </c>
      <c r="I15" s="120" t="s">
        <v>3931</v>
      </c>
    </row>
    <row r="16" spans="1:10" ht="15" customHeight="1">
      <c r="A16" s="114">
        <v>13</v>
      </c>
      <c r="B16" s="115" t="s">
        <v>1547</v>
      </c>
      <c r="C16" s="116" t="s">
        <v>3960</v>
      </c>
      <c r="D16" s="116" t="s">
        <v>3951</v>
      </c>
      <c r="E16" s="121" t="s">
        <v>3690</v>
      </c>
      <c r="F16" s="116" t="s">
        <v>3928</v>
      </c>
      <c r="G16" s="116" t="s">
        <v>3961</v>
      </c>
      <c r="H16" s="116" t="s">
        <v>3930</v>
      </c>
      <c r="I16" s="116" t="s">
        <v>3931</v>
      </c>
    </row>
    <row r="17" spans="1:9" ht="15" customHeight="1">
      <c r="A17" s="118">
        <v>14</v>
      </c>
      <c r="B17" s="119" t="s">
        <v>1468</v>
      </c>
      <c r="C17" s="120" t="s">
        <v>3488</v>
      </c>
      <c r="D17" s="120" t="s">
        <v>3927</v>
      </c>
      <c r="E17" s="121" t="s">
        <v>3690</v>
      </c>
      <c r="F17" s="120" t="s">
        <v>3928</v>
      </c>
      <c r="G17" s="120" t="s">
        <v>3962</v>
      </c>
      <c r="H17" s="120" t="s">
        <v>3930</v>
      </c>
      <c r="I17" s="120" t="s">
        <v>3931</v>
      </c>
    </row>
    <row r="18" spans="1:9" ht="15" customHeight="1">
      <c r="A18" s="114">
        <v>15</v>
      </c>
      <c r="B18" s="115" t="s">
        <v>605</v>
      </c>
      <c r="C18" s="116" t="s">
        <v>3685</v>
      </c>
      <c r="D18" s="116" t="s">
        <v>3927</v>
      </c>
      <c r="E18" s="121" t="s">
        <v>3694</v>
      </c>
      <c r="F18" s="116" t="s">
        <v>3963</v>
      </c>
      <c r="G18" s="116" t="s">
        <v>3964</v>
      </c>
      <c r="H18" s="116" t="s">
        <v>3930</v>
      </c>
      <c r="I18" s="116" t="s">
        <v>3931</v>
      </c>
    </row>
    <row r="19" spans="1:9" ht="15" customHeight="1">
      <c r="A19" s="118">
        <v>16</v>
      </c>
      <c r="B19" s="119" t="s">
        <v>1749</v>
      </c>
      <c r="C19" s="120" t="s">
        <v>3447</v>
      </c>
      <c r="D19" s="120" t="s">
        <v>3927</v>
      </c>
      <c r="E19" s="121" t="s">
        <v>3688</v>
      </c>
      <c r="F19" s="120" t="s">
        <v>3955</v>
      </c>
      <c r="G19" s="120" t="s">
        <v>3965</v>
      </c>
      <c r="H19" s="120" t="s">
        <v>3930</v>
      </c>
      <c r="I19" s="120" t="s">
        <v>3931</v>
      </c>
    </row>
    <row r="20" spans="1:9" ht="15" customHeight="1">
      <c r="A20" s="114">
        <v>17</v>
      </c>
      <c r="B20" s="115" t="s">
        <v>1105</v>
      </c>
      <c r="C20" s="116" t="s">
        <v>3447</v>
      </c>
      <c r="D20" s="116" t="s">
        <v>3966</v>
      </c>
      <c r="E20" s="121" t="s">
        <v>3688</v>
      </c>
      <c r="F20" s="116" t="s">
        <v>3928</v>
      </c>
      <c r="G20" s="116" t="s">
        <v>3967</v>
      </c>
      <c r="H20" s="116" t="s">
        <v>3930</v>
      </c>
      <c r="I20" s="116" t="s">
        <v>3931</v>
      </c>
    </row>
    <row r="21" spans="1:9" ht="15" customHeight="1">
      <c r="A21" s="118">
        <v>18</v>
      </c>
      <c r="B21" s="119" t="s">
        <v>1701</v>
      </c>
      <c r="C21" s="120" t="s">
        <v>3447</v>
      </c>
      <c r="D21" s="120" t="s">
        <v>3968</v>
      </c>
      <c r="E21" s="121" t="s">
        <v>3687</v>
      </c>
      <c r="F21" s="120" t="s">
        <v>3955</v>
      </c>
      <c r="G21" s="120" t="s">
        <v>3969</v>
      </c>
      <c r="H21" s="120" t="s">
        <v>3930</v>
      </c>
      <c r="I21" s="120" t="s">
        <v>3931</v>
      </c>
    </row>
    <row r="22" spans="1:9" ht="15" customHeight="1">
      <c r="A22" s="114">
        <v>19</v>
      </c>
      <c r="B22" s="115" t="s">
        <v>639</v>
      </c>
      <c r="C22" s="116" t="s">
        <v>3970</v>
      </c>
      <c r="D22" s="116" t="s">
        <v>3500</v>
      </c>
      <c r="E22" s="122" t="s">
        <v>3688</v>
      </c>
      <c r="F22" s="116" t="s">
        <v>3955</v>
      </c>
      <c r="G22" s="116" t="s">
        <v>3971</v>
      </c>
      <c r="H22" s="116" t="s">
        <v>3930</v>
      </c>
      <c r="I22" s="116" t="s">
        <v>3931</v>
      </c>
    </row>
    <row r="23" spans="1:9" ht="15" customHeight="1">
      <c r="A23" s="123">
        <v>20</v>
      </c>
      <c r="B23" s="124" t="s">
        <v>2558</v>
      </c>
      <c r="C23" s="125" t="s">
        <v>3970</v>
      </c>
      <c r="D23" s="125" t="s">
        <v>3500</v>
      </c>
      <c r="E23" s="126" t="s">
        <v>3682</v>
      </c>
      <c r="F23" s="125" t="s">
        <v>3972</v>
      </c>
      <c r="G23" s="125" t="s">
        <v>3973</v>
      </c>
      <c r="H23" s="125" t="s">
        <v>3930</v>
      </c>
      <c r="I23" s="125" t="s">
        <v>3931</v>
      </c>
    </row>
    <row r="24" spans="1:9" ht="15" customHeight="1">
      <c r="A24" s="114">
        <v>21</v>
      </c>
      <c r="B24" s="115" t="s">
        <v>807</v>
      </c>
      <c r="C24" s="116" t="s">
        <v>3683</v>
      </c>
      <c r="D24" s="116" t="s">
        <v>3927</v>
      </c>
      <c r="E24" s="122" t="s">
        <v>3694</v>
      </c>
      <c r="F24" s="116" t="s">
        <v>3928</v>
      </c>
      <c r="G24" s="116" t="s">
        <v>3974</v>
      </c>
      <c r="H24" s="116" t="s">
        <v>3930</v>
      </c>
      <c r="I24" s="116" t="s">
        <v>3931</v>
      </c>
    </row>
    <row r="25" spans="1:9" ht="15" customHeight="1">
      <c r="A25" s="118">
        <v>22</v>
      </c>
      <c r="B25" s="119" t="s">
        <v>586</v>
      </c>
      <c r="C25" s="120" t="s">
        <v>3975</v>
      </c>
      <c r="D25" s="120" t="s">
        <v>3500</v>
      </c>
      <c r="E25" s="121" t="s">
        <v>3694</v>
      </c>
      <c r="F25" s="120" t="s">
        <v>3963</v>
      </c>
      <c r="G25" s="120" t="s">
        <v>3976</v>
      </c>
      <c r="H25" s="120" t="s">
        <v>3930</v>
      </c>
      <c r="I25" s="120" t="s">
        <v>3931</v>
      </c>
    </row>
    <row r="26" spans="1:9" ht="15" customHeight="1">
      <c r="A26" s="114">
        <v>23</v>
      </c>
      <c r="B26" s="115" t="s">
        <v>1604</v>
      </c>
      <c r="C26" s="116" t="s">
        <v>3674</v>
      </c>
      <c r="D26" s="116" t="s">
        <v>3927</v>
      </c>
      <c r="E26" s="122" t="s">
        <v>3690</v>
      </c>
      <c r="F26" s="116" t="s">
        <v>3972</v>
      </c>
      <c r="G26" s="116" t="s">
        <v>3977</v>
      </c>
      <c r="H26" s="116" t="s">
        <v>3930</v>
      </c>
      <c r="I26" s="116" t="s">
        <v>3931</v>
      </c>
    </row>
    <row r="27" spans="1:9" ht="15" customHeight="1">
      <c r="A27" s="118">
        <v>24</v>
      </c>
      <c r="B27" s="119" t="s">
        <v>3978</v>
      </c>
      <c r="C27" s="120" t="s">
        <v>3979</v>
      </c>
      <c r="D27" s="120" t="s">
        <v>3927</v>
      </c>
      <c r="E27" s="121" t="s">
        <v>3941</v>
      </c>
      <c r="F27" s="120" t="s">
        <v>3928</v>
      </c>
      <c r="G27" s="120" t="s">
        <v>3980</v>
      </c>
      <c r="H27" s="120" t="s">
        <v>3930</v>
      </c>
      <c r="I27" s="120" t="s">
        <v>3931</v>
      </c>
    </row>
    <row r="28" spans="1:9" ht="15" customHeight="1">
      <c r="A28" s="114">
        <v>25</v>
      </c>
      <c r="B28" s="115" t="s">
        <v>3981</v>
      </c>
      <c r="C28" s="116" t="s">
        <v>3439</v>
      </c>
      <c r="D28" s="116" t="s">
        <v>3927</v>
      </c>
      <c r="E28" s="121" t="s">
        <v>3941</v>
      </c>
      <c r="F28" s="116" t="s">
        <v>3937</v>
      </c>
      <c r="G28" s="116" t="s">
        <v>3982</v>
      </c>
      <c r="H28" s="116" t="s">
        <v>3930</v>
      </c>
      <c r="I28" s="116" t="s">
        <v>3931</v>
      </c>
    </row>
    <row r="29" spans="1:9" ht="15" customHeight="1">
      <c r="A29" s="118">
        <v>26</v>
      </c>
      <c r="B29" s="119" t="s">
        <v>3983</v>
      </c>
      <c r="C29" s="120" t="s">
        <v>3674</v>
      </c>
      <c r="D29" s="120" t="s">
        <v>3927</v>
      </c>
      <c r="E29" s="121" t="s">
        <v>3688</v>
      </c>
      <c r="F29" s="120" t="s">
        <v>3928</v>
      </c>
      <c r="G29" s="120" t="s">
        <v>3984</v>
      </c>
      <c r="H29" s="120" t="s">
        <v>3930</v>
      </c>
      <c r="I29" s="120" t="s">
        <v>3931</v>
      </c>
    </row>
    <row r="30" spans="1:9" ht="15" customHeight="1">
      <c r="A30" s="114">
        <v>27</v>
      </c>
      <c r="B30" s="115" t="s">
        <v>3985</v>
      </c>
      <c r="C30" s="116" t="s">
        <v>3447</v>
      </c>
      <c r="D30" s="116" t="s">
        <v>3927</v>
      </c>
      <c r="E30" s="122" t="s">
        <v>3688</v>
      </c>
      <c r="F30" s="116" t="s">
        <v>3955</v>
      </c>
      <c r="G30" s="116" t="s">
        <v>3986</v>
      </c>
      <c r="H30" s="116" t="s">
        <v>3930</v>
      </c>
      <c r="I30" s="116" t="s">
        <v>3931</v>
      </c>
    </row>
    <row r="31" spans="1:9" ht="15" customHeight="1">
      <c r="A31" s="118">
        <v>28</v>
      </c>
      <c r="B31" s="119" t="s">
        <v>2185</v>
      </c>
      <c r="C31" s="120" t="s">
        <v>3987</v>
      </c>
      <c r="D31" s="120" t="s">
        <v>3927</v>
      </c>
      <c r="E31" s="122" t="s">
        <v>3688</v>
      </c>
      <c r="F31" s="120" t="s">
        <v>3955</v>
      </c>
      <c r="G31" s="120" t="s">
        <v>3988</v>
      </c>
      <c r="H31" s="120" t="s">
        <v>3930</v>
      </c>
      <c r="I31" s="120" t="s">
        <v>3931</v>
      </c>
    </row>
    <row r="32" spans="1:9" ht="15" customHeight="1">
      <c r="A32" s="114">
        <v>29</v>
      </c>
      <c r="B32" s="115" t="s">
        <v>186</v>
      </c>
      <c r="C32" s="116" t="s">
        <v>3989</v>
      </c>
      <c r="D32" s="116" t="s">
        <v>3500</v>
      </c>
      <c r="E32" s="122" t="s">
        <v>3688</v>
      </c>
      <c r="F32" s="116" t="s">
        <v>3955</v>
      </c>
      <c r="G32" s="116" t="s">
        <v>3990</v>
      </c>
      <c r="H32" s="116" t="s">
        <v>3930</v>
      </c>
      <c r="I32" s="116" t="s">
        <v>3931</v>
      </c>
    </row>
    <row r="33" spans="1:9" ht="15" customHeight="1">
      <c r="A33" s="123">
        <v>30</v>
      </c>
      <c r="B33" s="124" t="s">
        <v>782</v>
      </c>
      <c r="C33" s="125" t="s">
        <v>3447</v>
      </c>
      <c r="D33" s="125" t="s">
        <v>3500</v>
      </c>
      <c r="E33" s="127" t="s">
        <v>3688</v>
      </c>
      <c r="F33" s="125" t="s">
        <v>3955</v>
      </c>
      <c r="G33" s="125" t="s">
        <v>3991</v>
      </c>
      <c r="H33" s="125" t="s">
        <v>3930</v>
      </c>
      <c r="I33" s="125" t="s">
        <v>3931</v>
      </c>
    </row>
    <row r="34" spans="1:9" ht="15" customHeight="1">
      <c r="A34" s="114">
        <v>31</v>
      </c>
      <c r="B34" s="115" t="s">
        <v>1778</v>
      </c>
      <c r="C34" s="116" t="s">
        <v>3683</v>
      </c>
      <c r="D34" s="116" t="s">
        <v>3927</v>
      </c>
      <c r="E34" s="121" t="s">
        <v>3687</v>
      </c>
      <c r="F34" s="116" t="s">
        <v>3972</v>
      </c>
      <c r="G34" s="116" t="s">
        <v>3992</v>
      </c>
      <c r="H34" s="116" t="s">
        <v>3930</v>
      </c>
      <c r="I34" s="116" t="s">
        <v>3931</v>
      </c>
    </row>
    <row r="35" spans="1:9" ht="15" customHeight="1">
      <c r="A35" s="118">
        <v>32</v>
      </c>
      <c r="B35" s="119" t="s">
        <v>3993</v>
      </c>
      <c r="C35" s="120" t="s">
        <v>3948</v>
      </c>
      <c r="D35" s="120" t="s">
        <v>3927</v>
      </c>
      <c r="E35" s="121" t="s">
        <v>3687</v>
      </c>
      <c r="F35" s="120" t="s">
        <v>3972</v>
      </c>
      <c r="G35" s="120" t="s">
        <v>3994</v>
      </c>
      <c r="H35" s="120" t="s">
        <v>3930</v>
      </c>
      <c r="I35" s="120" t="s">
        <v>3931</v>
      </c>
    </row>
    <row r="36" spans="1:9" ht="15" customHeight="1">
      <c r="A36" s="114">
        <v>33</v>
      </c>
      <c r="B36" s="115" t="s">
        <v>262</v>
      </c>
      <c r="C36" s="116" t="s">
        <v>3995</v>
      </c>
      <c r="D36" s="116" t="s">
        <v>3927</v>
      </c>
      <c r="E36" s="121" t="s">
        <v>3941</v>
      </c>
      <c r="F36" s="116" t="s">
        <v>3955</v>
      </c>
      <c r="G36" s="116" t="s">
        <v>3996</v>
      </c>
      <c r="H36" s="116" t="s">
        <v>3930</v>
      </c>
      <c r="I36" s="116" t="s">
        <v>3931</v>
      </c>
    </row>
    <row r="37" spans="1:9" ht="15" customHeight="1">
      <c r="A37" s="118">
        <v>34</v>
      </c>
      <c r="B37" s="119" t="s">
        <v>817</v>
      </c>
      <c r="C37" s="120" t="s">
        <v>3989</v>
      </c>
      <c r="D37" s="120" t="s">
        <v>3951</v>
      </c>
      <c r="E37" s="121" t="s">
        <v>3687</v>
      </c>
      <c r="F37" s="120" t="s">
        <v>3928</v>
      </c>
      <c r="G37" s="120" t="s">
        <v>3997</v>
      </c>
      <c r="H37" s="120" t="s">
        <v>3930</v>
      </c>
      <c r="I37" s="120" t="s">
        <v>3931</v>
      </c>
    </row>
    <row r="38" spans="1:9" ht="15" customHeight="1">
      <c r="A38" s="114">
        <v>35</v>
      </c>
      <c r="B38" s="115" t="s">
        <v>151</v>
      </c>
      <c r="C38" s="116" t="s">
        <v>3998</v>
      </c>
      <c r="D38" s="116" t="s">
        <v>3933</v>
      </c>
      <c r="E38" s="121" t="s">
        <v>3687</v>
      </c>
      <c r="F38" s="116" t="s">
        <v>3972</v>
      </c>
      <c r="G38" s="116" t="s">
        <v>3999</v>
      </c>
      <c r="H38" s="116" t="s">
        <v>3930</v>
      </c>
      <c r="I38" s="116" t="s">
        <v>3931</v>
      </c>
    </row>
    <row r="39" spans="1:9" ht="15" customHeight="1">
      <c r="A39" s="118">
        <v>36</v>
      </c>
      <c r="B39" s="119" t="s">
        <v>4000</v>
      </c>
      <c r="C39" s="120" t="s">
        <v>4001</v>
      </c>
      <c r="D39" s="120" t="s">
        <v>3927</v>
      </c>
      <c r="E39" s="121" t="s">
        <v>3941</v>
      </c>
      <c r="F39" s="120" t="s">
        <v>3955</v>
      </c>
      <c r="G39" s="120" t="s">
        <v>4002</v>
      </c>
      <c r="H39" s="120" t="s">
        <v>3930</v>
      </c>
      <c r="I39" s="120" t="s">
        <v>3931</v>
      </c>
    </row>
    <row r="40" spans="1:9" ht="15" customHeight="1">
      <c r="A40" s="114">
        <v>37</v>
      </c>
      <c r="B40" s="115" t="s">
        <v>2526</v>
      </c>
      <c r="C40" s="116" t="s">
        <v>4003</v>
      </c>
      <c r="D40" s="116" t="s">
        <v>3500</v>
      </c>
      <c r="E40" s="121" t="s">
        <v>3687</v>
      </c>
      <c r="F40" s="116" t="s">
        <v>3972</v>
      </c>
      <c r="G40" s="116" t="s">
        <v>4004</v>
      </c>
      <c r="H40" s="116" t="s">
        <v>3930</v>
      </c>
      <c r="I40" s="116" t="s">
        <v>3931</v>
      </c>
    </row>
    <row r="41" spans="1:9" ht="15" customHeight="1">
      <c r="A41" s="118">
        <v>38</v>
      </c>
      <c r="B41" s="119" t="s">
        <v>1678</v>
      </c>
      <c r="C41" s="120" t="s">
        <v>4005</v>
      </c>
      <c r="D41" s="120" t="s">
        <v>3927</v>
      </c>
      <c r="E41" s="122" t="s">
        <v>3687</v>
      </c>
      <c r="F41" s="120" t="s">
        <v>3972</v>
      </c>
      <c r="G41" s="120" t="s">
        <v>4006</v>
      </c>
      <c r="H41" s="120" t="s">
        <v>3930</v>
      </c>
      <c r="I41" s="120" t="s">
        <v>3931</v>
      </c>
    </row>
    <row r="42" spans="1:9" ht="15" customHeight="1">
      <c r="A42" s="114">
        <v>39</v>
      </c>
      <c r="B42" s="115" t="s">
        <v>3583</v>
      </c>
      <c r="C42" s="116" t="s">
        <v>3481</v>
      </c>
      <c r="D42" s="116" t="s">
        <v>3933</v>
      </c>
      <c r="E42" s="121" t="s">
        <v>3687</v>
      </c>
      <c r="F42" s="116" t="s">
        <v>3972</v>
      </c>
      <c r="G42" s="116" t="s">
        <v>4007</v>
      </c>
      <c r="H42" s="116" t="s">
        <v>3930</v>
      </c>
      <c r="I42" s="116" t="s">
        <v>3931</v>
      </c>
    </row>
    <row r="43" spans="1:9" ht="15" customHeight="1">
      <c r="A43" s="123">
        <v>40</v>
      </c>
      <c r="B43" s="124" t="s">
        <v>1790</v>
      </c>
      <c r="C43" s="125" t="s">
        <v>4008</v>
      </c>
      <c r="D43" s="125" t="s">
        <v>3927</v>
      </c>
      <c r="E43" s="126" t="s">
        <v>3687</v>
      </c>
      <c r="F43" s="125" t="s">
        <v>3972</v>
      </c>
      <c r="G43" s="125" t="s">
        <v>4009</v>
      </c>
      <c r="H43" s="125" t="s">
        <v>3930</v>
      </c>
      <c r="I43" s="125" t="s">
        <v>3931</v>
      </c>
    </row>
    <row r="44" spans="1:9" ht="15" customHeight="1">
      <c r="A44" s="114">
        <v>41</v>
      </c>
      <c r="B44" s="115" t="s">
        <v>560</v>
      </c>
      <c r="C44" s="116" t="s">
        <v>3447</v>
      </c>
      <c r="D44" s="116" t="s">
        <v>3629</v>
      </c>
      <c r="E44" s="121" t="s">
        <v>3941</v>
      </c>
      <c r="F44" s="116" t="s">
        <v>3928</v>
      </c>
      <c r="G44" s="116" t="s">
        <v>4010</v>
      </c>
      <c r="H44" s="116" t="s">
        <v>3930</v>
      </c>
      <c r="I44" s="116" t="s">
        <v>3931</v>
      </c>
    </row>
    <row r="45" spans="1:9" ht="15" customHeight="1">
      <c r="A45" s="118">
        <v>42</v>
      </c>
      <c r="B45" s="119" t="s">
        <v>3497</v>
      </c>
      <c r="C45" s="120" t="s">
        <v>3453</v>
      </c>
      <c r="D45" s="120" t="s">
        <v>3927</v>
      </c>
      <c r="E45" s="121" t="s">
        <v>3684</v>
      </c>
      <c r="F45" s="120" t="s">
        <v>3963</v>
      </c>
      <c r="G45" s="120" t="s">
        <v>4011</v>
      </c>
      <c r="H45" s="120" t="s">
        <v>3930</v>
      </c>
      <c r="I45" s="120" t="s">
        <v>3931</v>
      </c>
    </row>
    <row r="46" spans="1:9" ht="15" customHeight="1">
      <c r="A46" s="114">
        <v>43</v>
      </c>
      <c r="B46" s="115" t="s">
        <v>569</v>
      </c>
      <c r="C46" s="116" t="s">
        <v>3689</v>
      </c>
      <c r="D46" s="116" t="s">
        <v>3933</v>
      </c>
      <c r="E46" s="121" t="s">
        <v>3941</v>
      </c>
      <c r="F46" s="116" t="s">
        <v>3963</v>
      </c>
      <c r="G46" s="116" t="s">
        <v>4012</v>
      </c>
      <c r="H46" s="116" t="s">
        <v>3930</v>
      </c>
      <c r="I46" s="116" t="s">
        <v>3931</v>
      </c>
    </row>
    <row r="47" spans="1:9" ht="15" customHeight="1">
      <c r="A47" s="118">
        <v>44</v>
      </c>
      <c r="B47" s="119" t="s">
        <v>3496</v>
      </c>
      <c r="C47" s="120" t="s">
        <v>4013</v>
      </c>
      <c r="D47" s="120" t="s">
        <v>3927</v>
      </c>
      <c r="E47" s="122" t="s">
        <v>3941</v>
      </c>
      <c r="F47" s="120" t="s">
        <v>3955</v>
      </c>
      <c r="G47" s="120" t="s">
        <v>4014</v>
      </c>
      <c r="H47" s="120" t="s">
        <v>3930</v>
      </c>
      <c r="I47" s="120" t="s">
        <v>3931</v>
      </c>
    </row>
    <row r="48" spans="1:9" ht="15" customHeight="1">
      <c r="A48" s="114">
        <v>45</v>
      </c>
      <c r="B48" s="115" t="s">
        <v>538</v>
      </c>
      <c r="C48" s="116" t="s">
        <v>3453</v>
      </c>
      <c r="D48" s="116" t="s">
        <v>3629</v>
      </c>
      <c r="E48" s="121" t="s">
        <v>3941</v>
      </c>
      <c r="F48" s="116" t="s">
        <v>3941</v>
      </c>
      <c r="G48" s="116" t="s">
        <v>4015</v>
      </c>
      <c r="H48" s="116" t="s">
        <v>3930</v>
      </c>
      <c r="I48" s="116" t="s">
        <v>3931</v>
      </c>
    </row>
    <row r="49" spans="1:9" ht="15" customHeight="1">
      <c r="A49" s="118">
        <v>46</v>
      </c>
      <c r="B49" s="119" t="s">
        <v>1085</v>
      </c>
      <c r="C49" s="120" t="s">
        <v>3453</v>
      </c>
      <c r="D49" s="120" t="s">
        <v>3629</v>
      </c>
      <c r="E49" s="122" t="s">
        <v>3941</v>
      </c>
      <c r="F49" s="120" t="s">
        <v>3941</v>
      </c>
      <c r="G49" s="120" t="s">
        <v>4016</v>
      </c>
      <c r="H49" s="120" t="s">
        <v>3930</v>
      </c>
      <c r="I49" s="120" t="s">
        <v>3931</v>
      </c>
    </row>
    <row r="50" spans="1:9" ht="15" customHeight="1">
      <c r="A50" s="114">
        <v>47</v>
      </c>
      <c r="B50" s="115" t="s">
        <v>3099</v>
      </c>
      <c r="C50" s="116" t="s">
        <v>3674</v>
      </c>
      <c r="D50" s="116" t="s">
        <v>3951</v>
      </c>
      <c r="E50" s="121" t="s">
        <v>3687</v>
      </c>
      <c r="F50" s="116" t="s">
        <v>3972</v>
      </c>
      <c r="G50" s="116" t="s">
        <v>4017</v>
      </c>
      <c r="H50" s="116" t="s">
        <v>3930</v>
      </c>
      <c r="I50" s="116" t="s">
        <v>3931</v>
      </c>
    </row>
    <row r="51" spans="1:9" ht="15" customHeight="1">
      <c r="A51" s="118">
        <v>48</v>
      </c>
      <c r="B51" s="119" t="s">
        <v>403</v>
      </c>
      <c r="C51" s="120" t="s">
        <v>3989</v>
      </c>
      <c r="D51" s="120" t="s">
        <v>3927</v>
      </c>
      <c r="E51" s="122" t="s">
        <v>3687</v>
      </c>
      <c r="F51" s="120" t="s">
        <v>3955</v>
      </c>
      <c r="G51" s="120" t="s">
        <v>4018</v>
      </c>
      <c r="H51" s="120" t="s">
        <v>3930</v>
      </c>
      <c r="I51" s="120" t="s">
        <v>3931</v>
      </c>
    </row>
    <row r="52" spans="1:9" ht="15" customHeight="1">
      <c r="A52" s="114">
        <v>49</v>
      </c>
      <c r="B52" s="115" t="s">
        <v>2870</v>
      </c>
      <c r="C52" s="116" t="s">
        <v>3447</v>
      </c>
      <c r="D52" s="116" t="s">
        <v>3968</v>
      </c>
      <c r="E52" s="121" t="s">
        <v>3941</v>
      </c>
      <c r="F52" s="116" t="s">
        <v>3941</v>
      </c>
      <c r="G52" s="116" t="s">
        <v>4019</v>
      </c>
      <c r="H52" s="116" t="s">
        <v>3930</v>
      </c>
      <c r="I52" s="116" t="s">
        <v>3931</v>
      </c>
    </row>
    <row r="53" spans="1:9" ht="15" customHeight="1">
      <c r="A53" s="123">
        <v>50</v>
      </c>
      <c r="B53" s="124" t="s">
        <v>1085</v>
      </c>
      <c r="C53" s="125" t="s">
        <v>4020</v>
      </c>
      <c r="D53" s="125" t="s">
        <v>4021</v>
      </c>
      <c r="E53" s="126" t="s">
        <v>3941</v>
      </c>
      <c r="F53" s="125" t="s">
        <v>3972</v>
      </c>
      <c r="G53" s="125" t="s">
        <v>4022</v>
      </c>
      <c r="H53" s="125" t="s">
        <v>3930</v>
      </c>
      <c r="I53" s="125" t="s">
        <v>3931</v>
      </c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Empresas</vt:lpstr>
      <vt:lpstr>Contactos</vt:lpstr>
      <vt:lpstr>Hoja2</vt:lpstr>
      <vt:lpstr>LEADS CARGADOS EN SF</vt:lpstr>
      <vt:lpstr>Parametros</vt:lpstr>
      <vt:lpstr>EMPRESAS X INDUSTRIA</vt:lpstr>
      <vt:lpstr>Hoja1</vt:lpstr>
      <vt:lpstr>REVENEW X INDUSTRIAS</vt:lpstr>
      <vt:lpstr>Listas</vt:lpstr>
      <vt:lpstr>Oportunidades</vt:lpstr>
      <vt:lpstr>EMPRESAS MAYOR REVENEW</vt:lpstr>
      <vt:lpstr>MEDIDAS NEW LOGO 2026</vt:lpstr>
      <vt:lpstr>LEADS X SF</vt:lpstr>
      <vt:lpstr>CALLS AA</vt:lpstr>
      <vt:lpstr>Target Empresas Franco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Franco Zorzoli</cp:lastModifiedBy>
  <dcterms:created xsi:type="dcterms:W3CDTF">2025-11-10T13:15:09Z</dcterms:created>
  <dcterms:modified xsi:type="dcterms:W3CDTF">2026-04-20T23:30:01Z</dcterms:modified>
</cp:coreProperties>
</file>